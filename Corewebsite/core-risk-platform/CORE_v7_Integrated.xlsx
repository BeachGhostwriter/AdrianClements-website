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tlas306-my.sharepoint.com/personal/adrianclements_adrianclements_com/Documents/Personal drive/RM Book/Working version/Full forecasting formula/"/>
    </mc:Choice>
  </mc:AlternateContent>
  <xr:revisionPtr revIDLastSave="79" documentId="8_{9F208BF2-9964-47C7-9EFB-1E54A4A1B6E4}" xr6:coauthVersionLast="47" xr6:coauthVersionMax="47" xr10:uidLastSave="{E4B769D2-87A6-44F6-9DD1-A5875CE83182}"/>
  <bookViews>
    <workbookView xWindow="1290" yWindow="3540" windowWidth="28890" windowHeight="9720" tabRatio="696" activeTab="14" xr2:uid="{00000000-000D-0000-FFFF-FFFF00000000}"/>
  </bookViews>
  <sheets>
    <sheet name="7-Instructions" sheetId="32" r:id="rId1"/>
    <sheet name="Header" sheetId="1" r:id="rId2"/>
    <sheet name="Calibration" sheetId="2" r:id="rId3"/>
    <sheet name="CORE" sheetId="3" r:id="rId4"/>
    <sheet name="Company_RI" sheetId="4" r:id="rId5"/>
    <sheet name="Company_SMI" sheetId="5" r:id="rId6"/>
    <sheet name="Objectives" sheetId="6" r:id="rId7"/>
    <sheet name="Risk Thresholds" sheetId="7" r:id="rId8"/>
    <sheet name="Top 10 Risks" sheetId="8" r:id="rId9"/>
    <sheet name="Top 10 Risks (Page 2)" sheetId="9" r:id="rId10"/>
    <sheet name="RADAR" sheetId="10" r:id="rId11"/>
    <sheet name="FORGE" sheetId="11" r:id="rId12"/>
    <sheet name="Opportunities" sheetId="12" r:id="rId13"/>
    <sheet name="Risk Control" sheetId="13" r:id="rId14"/>
    <sheet name="Risk Interaction Map" sheetId="14" r:id="rId15"/>
    <sheet name="Coherence_Density" sheetId="15" r:id="rId16"/>
    <sheet name="Risks &amp; Objectives" sheetId="16" r:id="rId17"/>
    <sheet name="Long Term Risks" sheetId="17" r:id="rId18"/>
    <sheet name="Risk Aggregation" sheetId="18" r:id="rId19"/>
    <sheet name="Monte_Carlo" sheetId="19" r:id="rId20"/>
    <sheet name="Diagram_Data" sheetId="20" r:id="rId21"/>
    <sheet name="RADAR_Examples" sheetId="21" r:id="rId22"/>
    <sheet name="FORGE_Examples" sheetId="22" r:id="rId23"/>
    <sheet name="Opp_Examples" sheetId="23" r:id="rId24"/>
    <sheet name="Dashboard" sheetId="24" r:id="rId25"/>
    <sheet name="Effectiveness" sheetId="25" r:id="rId26"/>
    <sheet name="MatrixImpact" sheetId="26" r:id="rId27"/>
    <sheet name="Parameters" sheetId="27" r:id="rId28"/>
    <sheet name="RiskList" sheetId="28" r:id="rId29"/>
    <sheet name="Formula_Reference" sheetId="29" r:id="rId30"/>
    <sheet name="BPMEntities2023" sheetId="30" r:id="rId31"/>
    <sheet name="As Planned Scenario" sheetId="31" r:id="rId32"/>
  </sheets>
  <definedNames>
    <definedName name="CriticalThreshold">MatrixImpact!$G$2</definedName>
    <definedName name="LastRMC">Header!$D$20</definedName>
    <definedName name="LogarithmBase">MatrixImpact!$G$3</definedName>
    <definedName name="NbObjectives">Objectives!$G$8</definedName>
    <definedName name="ReportingPeriod">Parameters!$E$10</definedName>
    <definedName name="ReportingUnits">Parameters!$A$2:$C$5</definedName>
    <definedName name="RiskIdBeginsWith">Parameters!$A$2</definedName>
    <definedName name="SelectedBU">Header!$H$10</definedName>
    <definedName name="Timeframe">Parameters!$E$3:$E$8</definedName>
    <definedName name="timehorizon">Parameters!$E$13:$E$15</definedName>
    <definedName name="ValidationDate">Header!$D$14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8" i="11" l="1"/>
  <c r="B21" i="4"/>
  <c r="B22" i="4"/>
  <c r="B23" i="4"/>
  <c r="B20" i="4"/>
  <c r="P6" i="10"/>
  <c r="Q6" i="10"/>
  <c r="B22" i="3"/>
  <c r="B23" i="3"/>
  <c r="B24" i="3"/>
  <c r="B25" i="3"/>
  <c r="B26" i="3"/>
  <c r="B27" i="3"/>
  <c r="B28" i="3"/>
  <c r="C3" i="31"/>
  <c r="Y35" i="28"/>
  <c r="A35" i="28" s="1"/>
  <c r="X35" i="28"/>
  <c r="V35" i="28"/>
  <c r="U35" i="28"/>
  <c r="T35" i="28"/>
  <c r="K35" i="28"/>
  <c r="J35" i="28"/>
  <c r="I35" i="28"/>
  <c r="C35" i="28"/>
  <c r="B35" i="28"/>
  <c r="Y34" i="28"/>
  <c r="A34" i="28" s="1"/>
  <c r="X34" i="28"/>
  <c r="V34" i="28"/>
  <c r="U34" i="28"/>
  <c r="T34" i="28"/>
  <c r="K34" i="28"/>
  <c r="J34" i="28"/>
  <c r="I34" i="28"/>
  <c r="C34" i="28"/>
  <c r="B34" i="28"/>
  <c r="Y33" i="28"/>
  <c r="A33" i="28" s="1"/>
  <c r="X33" i="28"/>
  <c r="V33" i="28"/>
  <c r="U33" i="28"/>
  <c r="T33" i="28"/>
  <c r="P33" i="28"/>
  <c r="O33" i="28"/>
  <c r="N33" i="28"/>
  <c r="M33" i="28"/>
  <c r="L33" i="28"/>
  <c r="Q33" i="28" s="1"/>
  <c r="K33" i="28"/>
  <c r="J33" i="28"/>
  <c r="I33" i="28"/>
  <c r="C33" i="28"/>
  <c r="B33" i="28"/>
  <c r="Y32" i="28"/>
  <c r="A32" i="28" s="1"/>
  <c r="X32" i="28"/>
  <c r="V32" i="28"/>
  <c r="U32" i="28"/>
  <c r="T32" i="28"/>
  <c r="P32" i="28"/>
  <c r="O32" i="28"/>
  <c r="N32" i="28"/>
  <c r="M32" i="28"/>
  <c r="L32" i="28"/>
  <c r="Q32" i="28" s="1"/>
  <c r="K32" i="28"/>
  <c r="J32" i="28"/>
  <c r="I32" i="28"/>
  <c r="C32" i="28"/>
  <c r="B32" i="28"/>
  <c r="Y31" i="28"/>
  <c r="A31" i="28" s="1"/>
  <c r="X31" i="28"/>
  <c r="V31" i="28"/>
  <c r="U31" i="28"/>
  <c r="T31" i="28"/>
  <c r="P31" i="28"/>
  <c r="O31" i="28"/>
  <c r="N31" i="28"/>
  <c r="M31" i="28"/>
  <c r="L31" i="28"/>
  <c r="Q31" i="28" s="1"/>
  <c r="K31" i="28"/>
  <c r="J31" i="28"/>
  <c r="I31" i="28"/>
  <c r="C31" i="28"/>
  <c r="B31" i="28"/>
  <c r="Y30" i="28"/>
  <c r="A30" i="28" s="1"/>
  <c r="X30" i="28"/>
  <c r="V30" i="28"/>
  <c r="U30" i="28"/>
  <c r="T30" i="28"/>
  <c r="P30" i="28"/>
  <c r="O30" i="28"/>
  <c r="N30" i="28"/>
  <c r="M30" i="28"/>
  <c r="L30" i="28"/>
  <c r="Q30" i="28" s="1"/>
  <c r="K30" i="28"/>
  <c r="J30" i="28"/>
  <c r="I30" i="28"/>
  <c r="C30" i="28"/>
  <c r="B30" i="28"/>
  <c r="Y29" i="28"/>
  <c r="A29" i="28" s="1"/>
  <c r="X29" i="28"/>
  <c r="V29" i="28"/>
  <c r="U29" i="28"/>
  <c r="T29" i="28"/>
  <c r="P29" i="28"/>
  <c r="O29" i="28"/>
  <c r="N29" i="28"/>
  <c r="M29" i="28"/>
  <c r="L29" i="28"/>
  <c r="Q29" i="28" s="1"/>
  <c r="K29" i="28"/>
  <c r="J29" i="28"/>
  <c r="I29" i="28"/>
  <c r="C29" i="28"/>
  <c r="B29" i="28"/>
  <c r="Y28" i="28"/>
  <c r="A28" i="28" s="1"/>
  <c r="X28" i="28"/>
  <c r="V28" i="28"/>
  <c r="U28" i="28"/>
  <c r="T28" i="28"/>
  <c r="P28" i="28"/>
  <c r="O28" i="28"/>
  <c r="N28" i="28"/>
  <c r="M28" i="28"/>
  <c r="L28" i="28"/>
  <c r="Q28" i="28" s="1"/>
  <c r="K28" i="28"/>
  <c r="J28" i="28"/>
  <c r="I28" i="28"/>
  <c r="C28" i="28"/>
  <c r="B28" i="28"/>
  <c r="Y27" i="28"/>
  <c r="A27" i="28" s="1"/>
  <c r="X27" i="28"/>
  <c r="V27" i="28"/>
  <c r="U27" i="28"/>
  <c r="T27" i="28"/>
  <c r="P27" i="28"/>
  <c r="O27" i="28"/>
  <c r="N27" i="28"/>
  <c r="M27" i="28"/>
  <c r="L27" i="28"/>
  <c r="Q27" i="28" s="1"/>
  <c r="K27" i="28"/>
  <c r="J27" i="28"/>
  <c r="I27" i="28"/>
  <c r="C27" i="28"/>
  <c r="B27" i="28"/>
  <c r="Y26" i="28"/>
  <c r="A26" i="28" s="1"/>
  <c r="X26" i="28"/>
  <c r="V26" i="28"/>
  <c r="U26" i="28"/>
  <c r="T26" i="28"/>
  <c r="P26" i="28"/>
  <c r="O26" i="28"/>
  <c r="N26" i="28"/>
  <c r="M26" i="28"/>
  <c r="L26" i="28"/>
  <c r="Q26" i="28" s="1"/>
  <c r="K26" i="28"/>
  <c r="J26" i="28"/>
  <c r="I26" i="28"/>
  <c r="C26" i="28"/>
  <c r="B26" i="28"/>
  <c r="Y25" i="28"/>
  <c r="A25" i="28" s="1"/>
  <c r="X25" i="28"/>
  <c r="V25" i="28"/>
  <c r="U25" i="28"/>
  <c r="T25" i="28"/>
  <c r="P25" i="28"/>
  <c r="O25" i="28"/>
  <c r="N25" i="28"/>
  <c r="M25" i="28"/>
  <c r="L25" i="28"/>
  <c r="Q25" i="28" s="1"/>
  <c r="K25" i="28"/>
  <c r="J25" i="28"/>
  <c r="I25" i="28"/>
  <c r="C25" i="28"/>
  <c r="B25" i="28"/>
  <c r="Y24" i="28"/>
  <c r="A24" i="28" s="1"/>
  <c r="X24" i="28"/>
  <c r="V24" i="28"/>
  <c r="U24" i="28"/>
  <c r="T24" i="28"/>
  <c r="P24" i="28"/>
  <c r="O24" i="28"/>
  <c r="N24" i="28"/>
  <c r="M24" i="28"/>
  <c r="L24" i="28"/>
  <c r="Q24" i="28" s="1"/>
  <c r="K24" i="28"/>
  <c r="J24" i="28"/>
  <c r="I24" i="28"/>
  <c r="C24" i="28"/>
  <c r="B24" i="28"/>
  <c r="Y23" i="28"/>
  <c r="A23" i="28" s="1"/>
  <c r="X23" i="28"/>
  <c r="V23" i="28"/>
  <c r="U23" i="28"/>
  <c r="T23" i="28"/>
  <c r="P23" i="28"/>
  <c r="O23" i="28"/>
  <c r="N23" i="28"/>
  <c r="M23" i="28"/>
  <c r="L23" i="28"/>
  <c r="Q23" i="28" s="1"/>
  <c r="K23" i="28"/>
  <c r="J23" i="28"/>
  <c r="I23" i="28"/>
  <c r="C23" i="28"/>
  <c r="B23" i="28"/>
  <c r="Y22" i="28"/>
  <c r="A22" i="28" s="1"/>
  <c r="X22" i="28"/>
  <c r="V22" i="28"/>
  <c r="U22" i="28"/>
  <c r="T22" i="28"/>
  <c r="P22" i="28"/>
  <c r="O22" i="28"/>
  <c r="N22" i="28"/>
  <c r="M22" i="28"/>
  <c r="L22" i="28"/>
  <c r="Q22" i="28" s="1"/>
  <c r="K22" i="28"/>
  <c r="J22" i="28"/>
  <c r="I22" i="28"/>
  <c r="C22" i="28"/>
  <c r="B22" i="28"/>
  <c r="Y21" i="28"/>
  <c r="A21" i="28" s="1"/>
  <c r="X21" i="28"/>
  <c r="V21" i="28"/>
  <c r="U21" i="28"/>
  <c r="T21" i="28"/>
  <c r="P21" i="28"/>
  <c r="O21" i="28"/>
  <c r="N21" i="28"/>
  <c r="M21" i="28"/>
  <c r="L21" i="28"/>
  <c r="Q21" i="28" s="1"/>
  <c r="K21" i="28"/>
  <c r="J21" i="28"/>
  <c r="I21" i="28"/>
  <c r="C21" i="28"/>
  <c r="B21" i="28"/>
  <c r="Y20" i="28"/>
  <c r="A20" i="28" s="1"/>
  <c r="X20" i="28"/>
  <c r="V20" i="28"/>
  <c r="U20" i="28"/>
  <c r="T20" i="28"/>
  <c r="P20" i="28"/>
  <c r="O20" i="28"/>
  <c r="N20" i="28"/>
  <c r="M20" i="28"/>
  <c r="L20" i="28"/>
  <c r="Q20" i="28" s="1"/>
  <c r="K20" i="28"/>
  <c r="J20" i="28"/>
  <c r="I20" i="28"/>
  <c r="C20" i="28"/>
  <c r="B20" i="28"/>
  <c r="Y19" i="28"/>
  <c r="A19" i="28" s="1"/>
  <c r="X19" i="28"/>
  <c r="V19" i="28"/>
  <c r="U19" i="28"/>
  <c r="T19" i="28"/>
  <c r="P19" i="28"/>
  <c r="O19" i="28"/>
  <c r="N19" i="28"/>
  <c r="M19" i="28"/>
  <c r="L19" i="28"/>
  <c r="Q19" i="28" s="1"/>
  <c r="K19" i="28"/>
  <c r="J19" i="28"/>
  <c r="I19" i="28"/>
  <c r="C19" i="28"/>
  <c r="B19" i="28"/>
  <c r="Y18" i="28"/>
  <c r="A18" i="28" s="1"/>
  <c r="X18" i="28"/>
  <c r="V18" i="28"/>
  <c r="U18" i="28"/>
  <c r="T18" i="28"/>
  <c r="K18" i="28"/>
  <c r="J18" i="28"/>
  <c r="I18" i="28"/>
  <c r="C18" i="28"/>
  <c r="B18" i="28"/>
  <c r="Y17" i="28"/>
  <c r="A17" i="28" s="1"/>
  <c r="X17" i="28"/>
  <c r="V17" i="28"/>
  <c r="U17" i="28"/>
  <c r="T17" i="28"/>
  <c r="P17" i="28"/>
  <c r="O17" i="28"/>
  <c r="N17" i="28"/>
  <c r="M17" i="28"/>
  <c r="L17" i="28"/>
  <c r="Q17" i="28" s="1"/>
  <c r="K17" i="28"/>
  <c r="J17" i="28"/>
  <c r="I17" i="28"/>
  <c r="C17" i="28"/>
  <c r="B17" i="28"/>
  <c r="Y16" i="28"/>
  <c r="A16" i="28" s="1"/>
  <c r="X16" i="28"/>
  <c r="V16" i="28"/>
  <c r="U16" i="28"/>
  <c r="T16" i="28"/>
  <c r="P16" i="28"/>
  <c r="O16" i="28"/>
  <c r="N16" i="28"/>
  <c r="M16" i="28"/>
  <c r="L16" i="28"/>
  <c r="Q16" i="28" s="1"/>
  <c r="K16" i="28"/>
  <c r="J16" i="28"/>
  <c r="I16" i="28"/>
  <c r="C16" i="28"/>
  <c r="B16" i="28"/>
  <c r="Y15" i="28"/>
  <c r="A15" i="28" s="1"/>
  <c r="X15" i="28"/>
  <c r="V15" i="28"/>
  <c r="U15" i="28"/>
  <c r="T15" i="28"/>
  <c r="P15" i="28"/>
  <c r="O15" i="28"/>
  <c r="N15" i="28"/>
  <c r="M15" i="28"/>
  <c r="L15" i="28"/>
  <c r="Q15" i="28" s="1"/>
  <c r="K15" i="28"/>
  <c r="J15" i="28"/>
  <c r="I15" i="28"/>
  <c r="C15" i="28"/>
  <c r="B15" i="28"/>
  <c r="Y14" i="28"/>
  <c r="A14" i="28" s="1"/>
  <c r="X14" i="28"/>
  <c r="V14" i="28"/>
  <c r="U14" i="28"/>
  <c r="T14" i="28"/>
  <c r="P14" i="28"/>
  <c r="O14" i="28"/>
  <c r="N14" i="28"/>
  <c r="M14" i="28"/>
  <c r="L14" i="28"/>
  <c r="Q14" i="28" s="1"/>
  <c r="K14" i="28"/>
  <c r="J14" i="28"/>
  <c r="I14" i="28"/>
  <c r="C14" i="28"/>
  <c r="B14" i="28"/>
  <c r="Y13" i="28"/>
  <c r="A13" i="28" s="1"/>
  <c r="X13" i="28"/>
  <c r="V13" i="28"/>
  <c r="U13" i="28"/>
  <c r="T13" i="28"/>
  <c r="P13" i="28"/>
  <c r="O13" i="28"/>
  <c r="N13" i="28"/>
  <c r="M13" i="28"/>
  <c r="L13" i="28"/>
  <c r="Q13" i="28" s="1"/>
  <c r="K13" i="28"/>
  <c r="J13" i="28"/>
  <c r="I13" i="28"/>
  <c r="C13" i="28"/>
  <c r="B13" i="28"/>
  <c r="Y12" i="28"/>
  <c r="A12" i="28" s="1"/>
  <c r="X12" i="28"/>
  <c r="V12" i="28"/>
  <c r="U12" i="28"/>
  <c r="T12" i="28"/>
  <c r="P12" i="28"/>
  <c r="O12" i="28"/>
  <c r="N12" i="28"/>
  <c r="M12" i="28"/>
  <c r="L12" i="28"/>
  <c r="Q12" i="28" s="1"/>
  <c r="K12" i="28"/>
  <c r="J12" i="28"/>
  <c r="I12" i="28"/>
  <c r="C12" i="28"/>
  <c r="B12" i="28"/>
  <c r="Y11" i="28"/>
  <c r="A11" i="28" s="1"/>
  <c r="X11" i="28"/>
  <c r="V11" i="28"/>
  <c r="U11" i="28"/>
  <c r="T11" i="28"/>
  <c r="P11" i="28"/>
  <c r="O11" i="28"/>
  <c r="N11" i="28"/>
  <c r="M11" i="28"/>
  <c r="L11" i="28"/>
  <c r="Q11" i="28" s="1"/>
  <c r="K11" i="28"/>
  <c r="J11" i="28"/>
  <c r="I11" i="28"/>
  <c r="C11" i="28"/>
  <c r="B11" i="28"/>
  <c r="Y10" i="28"/>
  <c r="A10" i="28" s="1"/>
  <c r="X10" i="28"/>
  <c r="V10" i="28"/>
  <c r="U10" i="28"/>
  <c r="T10" i="28"/>
  <c r="P10" i="28"/>
  <c r="O10" i="28"/>
  <c r="N10" i="28"/>
  <c r="M10" i="28"/>
  <c r="L10" i="28"/>
  <c r="Q10" i="28" s="1"/>
  <c r="K10" i="28"/>
  <c r="J10" i="28"/>
  <c r="I10" i="28"/>
  <c r="C10" i="28"/>
  <c r="B10" i="28"/>
  <c r="Y9" i="28"/>
  <c r="A9" i="28" s="1"/>
  <c r="X9" i="28"/>
  <c r="V9" i="28"/>
  <c r="U9" i="28"/>
  <c r="T9" i="28"/>
  <c r="P9" i="28"/>
  <c r="O9" i="28"/>
  <c r="N9" i="28"/>
  <c r="M9" i="28"/>
  <c r="L9" i="28"/>
  <c r="Q9" i="28" s="1"/>
  <c r="K9" i="28"/>
  <c r="J9" i="28"/>
  <c r="I9" i="28"/>
  <c r="C9" i="28"/>
  <c r="B9" i="28"/>
  <c r="Y8" i="28"/>
  <c r="A8" i="28" s="1"/>
  <c r="X8" i="28"/>
  <c r="V8" i="28"/>
  <c r="U8" i="28"/>
  <c r="T8" i="28"/>
  <c r="P8" i="28"/>
  <c r="O8" i="28"/>
  <c r="N8" i="28"/>
  <c r="M8" i="28"/>
  <c r="L8" i="28"/>
  <c r="Q8" i="28" s="1"/>
  <c r="K8" i="28"/>
  <c r="J8" i="28"/>
  <c r="I8" i="28"/>
  <c r="C8" i="28"/>
  <c r="B8" i="28"/>
  <c r="Y7" i="28"/>
  <c r="A7" i="28" s="1"/>
  <c r="X7" i="28"/>
  <c r="V7" i="28"/>
  <c r="U7" i="28"/>
  <c r="T7" i="28"/>
  <c r="P7" i="28"/>
  <c r="O7" i="28"/>
  <c r="N7" i="28"/>
  <c r="M7" i="28"/>
  <c r="L7" i="28"/>
  <c r="Q7" i="28" s="1"/>
  <c r="K7" i="28"/>
  <c r="J7" i="28"/>
  <c r="I7" i="28"/>
  <c r="C7" i="28"/>
  <c r="B7" i="28"/>
  <c r="Y6" i="28"/>
  <c r="A6" i="28" s="1"/>
  <c r="X6" i="28"/>
  <c r="V6" i="28"/>
  <c r="U6" i="28"/>
  <c r="T6" i="28"/>
  <c r="P6" i="28"/>
  <c r="O6" i="28"/>
  <c r="N6" i="28"/>
  <c r="M6" i="28"/>
  <c r="L6" i="28"/>
  <c r="Q6" i="28" s="1"/>
  <c r="K6" i="28"/>
  <c r="J6" i="28"/>
  <c r="I6" i="28"/>
  <c r="C6" i="28"/>
  <c r="B6" i="28"/>
  <c r="Y5" i="28"/>
  <c r="A5" i="28" s="1"/>
  <c r="X5" i="28"/>
  <c r="V5" i="28"/>
  <c r="U5" i="28"/>
  <c r="T5" i="28"/>
  <c r="P5" i="28"/>
  <c r="O5" i="28"/>
  <c r="N5" i="28"/>
  <c r="M5" i="28"/>
  <c r="L5" i="28"/>
  <c r="Q5" i="28" s="1"/>
  <c r="K5" i="28"/>
  <c r="J5" i="28"/>
  <c r="I5" i="28"/>
  <c r="C5" i="28"/>
  <c r="B5" i="28"/>
  <c r="Y4" i="28"/>
  <c r="A4" i="28" s="1"/>
  <c r="X4" i="28"/>
  <c r="V4" i="28"/>
  <c r="U4" i="28"/>
  <c r="T4" i="28"/>
  <c r="P4" i="28"/>
  <c r="O4" i="28"/>
  <c r="N4" i="28"/>
  <c r="M4" i="28"/>
  <c r="L4" i="28"/>
  <c r="Q4" i="28" s="1"/>
  <c r="K4" i="28"/>
  <c r="J4" i="28"/>
  <c r="I4" i="28"/>
  <c r="C4" i="28"/>
  <c r="B4" i="28"/>
  <c r="Y3" i="28"/>
  <c r="A3" i="28" s="1"/>
  <c r="X3" i="28"/>
  <c r="V3" i="28"/>
  <c r="U3" i="28"/>
  <c r="T3" i="28"/>
  <c r="P3" i="28"/>
  <c r="O3" i="28"/>
  <c r="N3" i="28"/>
  <c r="M3" i="28"/>
  <c r="L3" i="28"/>
  <c r="Q3" i="28" s="1"/>
  <c r="K3" i="28"/>
  <c r="J3" i="28"/>
  <c r="I3" i="28"/>
  <c r="C3" i="28"/>
  <c r="B3" i="28"/>
  <c r="Y2" i="28"/>
  <c r="A2" i="28" s="1"/>
  <c r="X2" i="28"/>
  <c r="V2" i="28"/>
  <c r="U2" i="28"/>
  <c r="T2" i="28"/>
  <c r="P2" i="28"/>
  <c r="O2" i="28"/>
  <c r="N2" i="28"/>
  <c r="M2" i="28"/>
  <c r="L2" i="28"/>
  <c r="Q2" i="28" s="1"/>
  <c r="K2" i="28"/>
  <c r="J2" i="28"/>
  <c r="I2" i="28"/>
  <c r="C2" i="28"/>
  <c r="B2" i="28"/>
  <c r="J25" i="27"/>
  <c r="I25" i="27"/>
  <c r="H25" i="27"/>
  <c r="G25" i="27"/>
  <c r="J24" i="27"/>
  <c r="I24" i="27"/>
  <c r="H24" i="27"/>
  <c r="G24" i="27"/>
  <c r="J23" i="27"/>
  <c r="I23" i="27"/>
  <c r="G23" i="27"/>
  <c r="H23" i="27" s="1"/>
  <c r="J22" i="27"/>
  <c r="I22" i="27"/>
  <c r="G22" i="27"/>
  <c r="H22" i="27" s="1"/>
  <c r="J21" i="27"/>
  <c r="I21" i="27"/>
  <c r="G21" i="27"/>
  <c r="J20" i="27"/>
  <c r="I20" i="27"/>
  <c r="G20" i="27"/>
  <c r="J19" i="27"/>
  <c r="I19" i="27"/>
  <c r="G19" i="27"/>
  <c r="J18" i="27"/>
  <c r="I18" i="27"/>
  <c r="G18" i="27"/>
  <c r="J17" i="27"/>
  <c r="I17" i="27"/>
  <c r="G17" i="27"/>
  <c r="E17" i="27"/>
  <c r="J16" i="27"/>
  <c r="I16" i="27"/>
  <c r="G16" i="27"/>
  <c r="J15" i="27"/>
  <c r="I15" i="27"/>
  <c r="G15" i="27"/>
  <c r="J14" i="27"/>
  <c r="I14" i="27"/>
  <c r="G14" i="27"/>
  <c r="J13" i="27"/>
  <c r="I13" i="27"/>
  <c r="G13" i="27"/>
  <c r="J12" i="27"/>
  <c r="I12" i="27"/>
  <c r="G12" i="27"/>
  <c r="J11" i="27"/>
  <c r="I11" i="27"/>
  <c r="G11" i="27"/>
  <c r="J10" i="27"/>
  <c r="I10" i="27"/>
  <c r="G10" i="27"/>
  <c r="E10" i="27"/>
  <c r="J9" i="27"/>
  <c r="I9" i="27"/>
  <c r="G9" i="27"/>
  <c r="J8" i="27"/>
  <c r="I8" i="27"/>
  <c r="G8" i="27"/>
  <c r="J7" i="27"/>
  <c r="I7" i="27"/>
  <c r="G7" i="27"/>
  <c r="J6" i="27"/>
  <c r="I6" i="27"/>
  <c r="G6" i="27"/>
  <c r="J5" i="27"/>
  <c r="I5" i="27"/>
  <c r="G5" i="27"/>
  <c r="J4" i="27"/>
  <c r="I4" i="27"/>
  <c r="G4" i="27"/>
  <c r="J3" i="27"/>
  <c r="I3" i="27"/>
  <c r="G3" i="27"/>
  <c r="J2" i="27"/>
  <c r="I2" i="27"/>
  <c r="G2" i="27"/>
  <c r="D7" i="26"/>
  <c r="C8" i="26" s="1"/>
  <c r="D6" i="26"/>
  <c r="C7" i="26" s="1"/>
  <c r="D5" i="26"/>
  <c r="C6" i="26" s="1"/>
  <c r="D4" i="26"/>
  <c r="C5" i="26" s="1"/>
  <c r="G2" i="26"/>
  <c r="F21" i="25"/>
  <c r="G15" i="25"/>
  <c r="D18" i="25" s="1"/>
  <c r="F15" i="25"/>
  <c r="I9" i="25"/>
  <c r="G9" i="25"/>
  <c r="D12" i="25" s="1"/>
  <c r="F9" i="25"/>
  <c r="H9" i="25" s="1"/>
  <c r="G3" i="25"/>
  <c r="F3" i="25"/>
  <c r="H3" i="25" s="1"/>
  <c r="J40" i="24"/>
  <c r="C40" i="24"/>
  <c r="B40" i="24"/>
  <c r="A40" i="24"/>
  <c r="J39" i="24"/>
  <c r="C39" i="24"/>
  <c r="B39" i="24"/>
  <c r="A39" i="24"/>
  <c r="J38" i="24"/>
  <c r="C38" i="24"/>
  <c r="B38" i="24"/>
  <c r="A38" i="24"/>
  <c r="J37" i="24"/>
  <c r="C37" i="24"/>
  <c r="B37" i="24"/>
  <c r="A37" i="24"/>
  <c r="J36" i="24"/>
  <c r="C36" i="24"/>
  <c r="B36" i="24"/>
  <c r="A36" i="24"/>
  <c r="J35" i="24"/>
  <c r="C35" i="24"/>
  <c r="B35" i="24"/>
  <c r="A35" i="24"/>
  <c r="J34" i="24"/>
  <c r="C34" i="24"/>
  <c r="B34" i="24"/>
  <c r="A34" i="24"/>
  <c r="J33" i="24"/>
  <c r="C33" i="24"/>
  <c r="B33" i="24"/>
  <c r="A33" i="24"/>
  <c r="J32" i="24"/>
  <c r="C32" i="24"/>
  <c r="B32" i="24"/>
  <c r="A32" i="24"/>
  <c r="J31" i="24"/>
  <c r="C31" i="24"/>
  <c r="B31" i="24"/>
  <c r="A31" i="24"/>
  <c r="J27" i="24"/>
  <c r="A27" i="24"/>
  <c r="J26" i="24"/>
  <c r="A26" i="24"/>
  <c r="J25" i="24"/>
  <c r="A25" i="24"/>
  <c r="J24" i="24"/>
  <c r="A24" i="24"/>
  <c r="J23" i="24"/>
  <c r="A23" i="24"/>
  <c r="J22" i="24"/>
  <c r="A22" i="24"/>
  <c r="J21" i="24"/>
  <c r="A21" i="24"/>
  <c r="J20" i="24"/>
  <c r="A20" i="24"/>
  <c r="J19" i="24"/>
  <c r="A19" i="24"/>
  <c r="J18" i="24"/>
  <c r="A18" i="24"/>
  <c r="B12" i="24"/>
  <c r="B10" i="24"/>
  <c r="B8" i="24"/>
  <c r="C9" i="24" s="1"/>
  <c r="G36" i="23"/>
  <c r="H36" i="23" s="1"/>
  <c r="E36" i="23"/>
  <c r="G35" i="23"/>
  <c r="H35" i="23" s="1"/>
  <c r="E35" i="23"/>
  <c r="G34" i="23"/>
  <c r="H34" i="23" s="1"/>
  <c r="E34" i="23"/>
  <c r="G33" i="23"/>
  <c r="H33" i="23" s="1"/>
  <c r="E33" i="23"/>
  <c r="G32" i="23"/>
  <c r="H32" i="23" s="1"/>
  <c r="E32" i="23"/>
  <c r="G31" i="23"/>
  <c r="H31" i="23" s="1"/>
  <c r="E31" i="23"/>
  <c r="G30" i="23"/>
  <c r="E30" i="23"/>
  <c r="G29" i="23"/>
  <c r="E29" i="23"/>
  <c r="G24" i="23"/>
  <c r="E24" i="23"/>
  <c r="G23" i="23"/>
  <c r="E23" i="23"/>
  <c r="G22" i="23"/>
  <c r="E22" i="23"/>
  <c r="G21" i="23"/>
  <c r="E21" i="23"/>
  <c r="G20" i="23"/>
  <c r="E20" i="23"/>
  <c r="G19" i="23"/>
  <c r="E19" i="23"/>
  <c r="G18" i="23"/>
  <c r="E18" i="23"/>
  <c r="G17" i="23"/>
  <c r="E17" i="23"/>
  <c r="G12" i="23"/>
  <c r="E12" i="23"/>
  <c r="G11" i="23"/>
  <c r="E11" i="23"/>
  <c r="G10" i="23"/>
  <c r="E10" i="23"/>
  <c r="G9" i="23"/>
  <c r="E9" i="23"/>
  <c r="G8" i="23"/>
  <c r="E8" i="23"/>
  <c r="G7" i="23"/>
  <c r="E7" i="23"/>
  <c r="G6" i="23"/>
  <c r="E6" i="23"/>
  <c r="G5" i="23"/>
  <c r="E5" i="23"/>
  <c r="G36" i="22"/>
  <c r="H36" i="22" s="1"/>
  <c r="E36" i="22"/>
  <c r="G35" i="22"/>
  <c r="H35" i="22" s="1"/>
  <c r="E35" i="22"/>
  <c r="G34" i="22"/>
  <c r="H34" i="22" s="1"/>
  <c r="E34" i="22"/>
  <c r="G33" i="22"/>
  <c r="H33" i="22" s="1"/>
  <c r="E33" i="22"/>
  <c r="G32" i="22"/>
  <c r="H32" i="22" s="1"/>
  <c r="E32" i="22"/>
  <c r="G31" i="22"/>
  <c r="H31" i="22" s="1"/>
  <c r="E31" i="22"/>
  <c r="G30" i="22"/>
  <c r="H30" i="22" s="1"/>
  <c r="E30" i="22"/>
  <c r="G29" i="22"/>
  <c r="H29" i="22" s="1"/>
  <c r="E29" i="22"/>
  <c r="G24" i="22"/>
  <c r="H24" i="22" s="1"/>
  <c r="E24" i="22"/>
  <c r="G23" i="22"/>
  <c r="H23" i="22" s="1"/>
  <c r="E23" i="22"/>
  <c r="G22" i="22"/>
  <c r="H22" i="22" s="1"/>
  <c r="E22" i="22"/>
  <c r="G21" i="22"/>
  <c r="H21" i="22" s="1"/>
  <c r="E21" i="22"/>
  <c r="G20" i="22"/>
  <c r="H20" i="22" s="1"/>
  <c r="E20" i="22"/>
  <c r="G19" i="22"/>
  <c r="H19" i="22" s="1"/>
  <c r="E19" i="22"/>
  <c r="G18" i="22"/>
  <c r="H18" i="22" s="1"/>
  <c r="E18" i="22"/>
  <c r="G17" i="22"/>
  <c r="H17" i="22" s="1"/>
  <c r="E17" i="22"/>
  <c r="G12" i="22"/>
  <c r="H12" i="22" s="1"/>
  <c r="E12" i="22"/>
  <c r="G11" i="22"/>
  <c r="H11" i="22" s="1"/>
  <c r="E11" i="22"/>
  <c r="G10" i="22"/>
  <c r="H10" i="22" s="1"/>
  <c r="E10" i="22"/>
  <c r="G9" i="22"/>
  <c r="H9" i="22" s="1"/>
  <c r="E9" i="22"/>
  <c r="G8" i="22"/>
  <c r="H8" i="22" s="1"/>
  <c r="E8" i="22"/>
  <c r="G7" i="22"/>
  <c r="H7" i="22" s="1"/>
  <c r="E7" i="22"/>
  <c r="G6" i="22"/>
  <c r="H6" i="22" s="1"/>
  <c r="E6" i="22"/>
  <c r="G5" i="22"/>
  <c r="H5" i="22" s="1"/>
  <c r="E5" i="22"/>
  <c r="E36" i="21"/>
  <c r="G36" i="21" s="1"/>
  <c r="H36" i="21" s="1"/>
  <c r="E35" i="21"/>
  <c r="G35" i="21" s="1"/>
  <c r="H35" i="21" s="1"/>
  <c r="E34" i="21"/>
  <c r="G34" i="21" s="1"/>
  <c r="H34" i="21" s="1"/>
  <c r="E33" i="21"/>
  <c r="G33" i="21" s="1"/>
  <c r="H33" i="21" s="1"/>
  <c r="E32" i="21"/>
  <c r="G32" i="21" s="1"/>
  <c r="H32" i="21" s="1"/>
  <c r="E31" i="21"/>
  <c r="G31" i="21" s="1"/>
  <c r="H31" i="21" s="1"/>
  <c r="E30" i="21"/>
  <c r="G30" i="21" s="1"/>
  <c r="H30" i="21" s="1"/>
  <c r="E29" i="21"/>
  <c r="G29" i="21" s="1"/>
  <c r="H29" i="21" s="1"/>
  <c r="E24" i="21"/>
  <c r="G24" i="21" s="1"/>
  <c r="H24" i="21" s="1"/>
  <c r="E23" i="21"/>
  <c r="G23" i="21" s="1"/>
  <c r="H23" i="21" s="1"/>
  <c r="E22" i="21"/>
  <c r="G22" i="21" s="1"/>
  <c r="H22" i="21" s="1"/>
  <c r="E21" i="21"/>
  <c r="G21" i="21" s="1"/>
  <c r="H21" i="21" s="1"/>
  <c r="E20" i="21"/>
  <c r="G20" i="21" s="1"/>
  <c r="H20" i="21" s="1"/>
  <c r="E19" i="21"/>
  <c r="G19" i="21" s="1"/>
  <c r="H19" i="21" s="1"/>
  <c r="E18" i="21"/>
  <c r="G18" i="21" s="1"/>
  <c r="H18" i="21" s="1"/>
  <c r="E17" i="21"/>
  <c r="G17" i="21" s="1"/>
  <c r="H17" i="21" s="1"/>
  <c r="E12" i="21"/>
  <c r="G12" i="21" s="1"/>
  <c r="H12" i="21" s="1"/>
  <c r="E11" i="21"/>
  <c r="G11" i="21" s="1"/>
  <c r="H11" i="21" s="1"/>
  <c r="E10" i="21"/>
  <c r="G10" i="21" s="1"/>
  <c r="H10" i="21" s="1"/>
  <c r="E9" i="21"/>
  <c r="G9" i="21" s="1"/>
  <c r="H9" i="21" s="1"/>
  <c r="E8" i="21"/>
  <c r="G8" i="21" s="1"/>
  <c r="H8" i="21" s="1"/>
  <c r="E7" i="21"/>
  <c r="G7" i="21" s="1"/>
  <c r="H7" i="21" s="1"/>
  <c r="E6" i="21"/>
  <c r="G6" i="21" s="1"/>
  <c r="H6" i="21" s="1"/>
  <c r="E5" i="21"/>
  <c r="G5" i="21" s="1"/>
  <c r="H5" i="21" s="1"/>
  <c r="B108" i="20"/>
  <c r="B107" i="20"/>
  <c r="B106" i="20"/>
  <c r="B105" i="20"/>
  <c r="B104" i="20"/>
  <c r="B103" i="20"/>
  <c r="B102" i="20"/>
  <c r="B101" i="20"/>
  <c r="B100" i="20"/>
  <c r="B99" i="20"/>
  <c r="B98" i="20"/>
  <c r="B97" i="20"/>
  <c r="B96" i="20"/>
  <c r="B95" i="20"/>
  <c r="B94" i="20"/>
  <c r="B93" i="20"/>
  <c r="B92" i="20"/>
  <c r="B91" i="20"/>
  <c r="B90" i="20"/>
  <c r="B89" i="20"/>
  <c r="B88" i="20"/>
  <c r="C83" i="20"/>
  <c r="C82" i="20"/>
  <c r="B81" i="20"/>
  <c r="H76" i="20"/>
  <c r="E76" i="20"/>
  <c r="H75" i="20"/>
  <c r="E75" i="20"/>
  <c r="H74" i="20"/>
  <c r="E74" i="20"/>
  <c r="H73" i="20"/>
  <c r="E73" i="20"/>
  <c r="H72" i="20"/>
  <c r="E72" i="20"/>
  <c r="H71" i="20"/>
  <c r="E71" i="20"/>
  <c r="H70" i="20"/>
  <c r="E70" i="20"/>
  <c r="H69" i="20"/>
  <c r="E69" i="20"/>
  <c r="H68" i="20"/>
  <c r="E68" i="20"/>
  <c r="H67" i="20"/>
  <c r="E67" i="20"/>
  <c r="H66" i="20"/>
  <c r="E66" i="20"/>
  <c r="H65" i="20"/>
  <c r="E65" i="20"/>
  <c r="H64" i="20"/>
  <c r="E64" i="20"/>
  <c r="H63" i="20"/>
  <c r="E63" i="20"/>
  <c r="H62" i="20"/>
  <c r="E62" i="20"/>
  <c r="H61" i="20"/>
  <c r="E61" i="20"/>
  <c r="H60" i="20"/>
  <c r="E60" i="20"/>
  <c r="H59" i="20"/>
  <c r="E59" i="20"/>
  <c r="H58" i="20"/>
  <c r="E58" i="20"/>
  <c r="H57" i="20"/>
  <c r="E57" i="20"/>
  <c r="H56" i="20"/>
  <c r="E56" i="20"/>
  <c r="H55" i="20"/>
  <c r="E55" i="20"/>
  <c r="H54" i="20"/>
  <c r="E54" i="20"/>
  <c r="H53" i="20"/>
  <c r="E53" i="20"/>
  <c r="H52" i="20"/>
  <c r="E52" i="20"/>
  <c r="H51" i="20"/>
  <c r="E51" i="20"/>
  <c r="H50" i="20"/>
  <c r="E50" i="20"/>
  <c r="H49" i="20"/>
  <c r="E49" i="20"/>
  <c r="H48" i="20"/>
  <c r="E48" i="20"/>
  <c r="H47" i="20"/>
  <c r="E47" i="20"/>
  <c r="H46" i="20"/>
  <c r="E46" i="20"/>
  <c r="H45" i="20"/>
  <c r="E45" i="20"/>
  <c r="H44" i="20"/>
  <c r="E44" i="20"/>
  <c r="H43" i="20"/>
  <c r="E43" i="20"/>
  <c r="H42" i="20"/>
  <c r="E42" i="20"/>
  <c r="H41" i="20"/>
  <c r="E41" i="20"/>
  <c r="H40" i="20"/>
  <c r="E40" i="20"/>
  <c r="H39" i="20"/>
  <c r="E39" i="20"/>
  <c r="H38" i="20"/>
  <c r="E38" i="20"/>
  <c r="H37" i="20"/>
  <c r="E37" i="20"/>
  <c r="H36" i="20"/>
  <c r="E36" i="20"/>
  <c r="H35" i="20"/>
  <c r="E35" i="20"/>
  <c r="H34" i="20"/>
  <c r="E34" i="20"/>
  <c r="H33" i="20"/>
  <c r="E33"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B7" i="19"/>
  <c r="B6" i="19"/>
  <c r="S40" i="18"/>
  <c r="P40" i="18"/>
  <c r="L40" i="18"/>
  <c r="F40" i="18" s="1"/>
  <c r="J40" i="18"/>
  <c r="H40" i="18"/>
  <c r="E40" i="18"/>
  <c r="S39" i="18"/>
  <c r="P39" i="18"/>
  <c r="L39" i="18"/>
  <c r="F39" i="18" s="1"/>
  <c r="J39" i="18"/>
  <c r="H39" i="18"/>
  <c r="E39" i="18"/>
  <c r="S38" i="18"/>
  <c r="P38" i="18"/>
  <c r="L38" i="18"/>
  <c r="F38" i="18" s="1"/>
  <c r="J38" i="18"/>
  <c r="H38" i="18"/>
  <c r="E38" i="18"/>
  <c r="S37" i="18"/>
  <c r="P37" i="18"/>
  <c r="L37" i="18"/>
  <c r="F37" i="18" s="1"/>
  <c r="J37" i="18"/>
  <c r="H37" i="18"/>
  <c r="E37" i="18"/>
  <c r="S36" i="18"/>
  <c r="P36" i="18"/>
  <c r="L36" i="18"/>
  <c r="F36" i="18" s="1"/>
  <c r="J36" i="18"/>
  <c r="H36" i="18"/>
  <c r="E35" i="28" s="1"/>
  <c r="S35" i="18"/>
  <c r="P35" i="18"/>
  <c r="L35" i="18"/>
  <c r="F35" i="18" s="1"/>
  <c r="J35" i="18"/>
  <c r="H35" i="18"/>
  <c r="E34" i="28" s="1"/>
  <c r="S34" i="18"/>
  <c r="P34" i="18"/>
  <c r="L34" i="18"/>
  <c r="F34" i="18" s="1"/>
  <c r="J34" i="18"/>
  <c r="H34" i="18"/>
  <c r="E33" i="28" s="1"/>
  <c r="S33" i="18"/>
  <c r="P33" i="18"/>
  <c r="L33" i="18"/>
  <c r="F33" i="18" s="1"/>
  <c r="J33" i="18"/>
  <c r="H33" i="18"/>
  <c r="E32" i="28" s="1"/>
  <c r="S32" i="18"/>
  <c r="P32" i="18"/>
  <c r="L32" i="18"/>
  <c r="F32" i="18" s="1"/>
  <c r="J32" i="18"/>
  <c r="H32" i="18"/>
  <c r="E31" i="28" s="1"/>
  <c r="S31" i="18"/>
  <c r="P31" i="18"/>
  <c r="L31" i="18"/>
  <c r="F31" i="18" s="1"/>
  <c r="J31" i="18"/>
  <c r="H31" i="18"/>
  <c r="E30" i="28" s="1"/>
  <c r="S30" i="18"/>
  <c r="P30" i="18"/>
  <c r="L30" i="18"/>
  <c r="F30" i="18" s="1"/>
  <c r="J30" i="18"/>
  <c r="H30" i="18"/>
  <c r="E29" i="28" s="1"/>
  <c r="S29" i="18"/>
  <c r="P29" i="18"/>
  <c r="L29" i="18"/>
  <c r="F29" i="18" s="1"/>
  <c r="J29" i="18"/>
  <c r="H29" i="18"/>
  <c r="E28" i="28" s="1"/>
  <c r="S28" i="18"/>
  <c r="P28" i="18"/>
  <c r="L28" i="18"/>
  <c r="F28" i="18" s="1"/>
  <c r="J28" i="18"/>
  <c r="H28" i="18"/>
  <c r="E27" i="28" s="1"/>
  <c r="S27" i="18"/>
  <c r="P27" i="18"/>
  <c r="L27" i="18"/>
  <c r="F27" i="18" s="1"/>
  <c r="J27" i="18"/>
  <c r="H27" i="18"/>
  <c r="E26" i="28" s="1"/>
  <c r="S26" i="18"/>
  <c r="P26" i="18"/>
  <c r="L26" i="18"/>
  <c r="F26" i="18" s="1"/>
  <c r="J26" i="18"/>
  <c r="H26" i="18"/>
  <c r="E25" i="28" s="1"/>
  <c r="S25" i="18"/>
  <c r="P25" i="18"/>
  <c r="L25" i="18"/>
  <c r="F25" i="18" s="1"/>
  <c r="J25" i="18"/>
  <c r="H25" i="18"/>
  <c r="E24" i="28" s="1"/>
  <c r="S24" i="18"/>
  <c r="P24" i="18"/>
  <c r="L24" i="18"/>
  <c r="F24" i="18" s="1"/>
  <c r="J24" i="18"/>
  <c r="H24" i="18"/>
  <c r="E23" i="28" s="1"/>
  <c r="S23" i="18"/>
  <c r="P23" i="18"/>
  <c r="L23" i="18"/>
  <c r="F23" i="18" s="1"/>
  <c r="J23" i="18"/>
  <c r="H23" i="18"/>
  <c r="E22" i="28" s="1"/>
  <c r="S22" i="18"/>
  <c r="P22" i="18"/>
  <c r="L22" i="18"/>
  <c r="F22" i="18" s="1"/>
  <c r="J22" i="18"/>
  <c r="H22" i="18"/>
  <c r="E21" i="28" s="1"/>
  <c r="S21" i="18"/>
  <c r="P21" i="18"/>
  <c r="L21" i="18"/>
  <c r="F21" i="18" s="1"/>
  <c r="J21" i="18"/>
  <c r="H21" i="18"/>
  <c r="E20" i="28" s="1"/>
  <c r="S20" i="18"/>
  <c r="P20" i="18"/>
  <c r="L20" i="18"/>
  <c r="F20" i="18" s="1"/>
  <c r="J20" i="18"/>
  <c r="H20" i="18"/>
  <c r="E19" i="28" s="1"/>
  <c r="S19" i="18"/>
  <c r="P19" i="18"/>
  <c r="L19" i="18"/>
  <c r="F19" i="18" s="1"/>
  <c r="J19" i="18"/>
  <c r="H19" i="18"/>
  <c r="E18" i="28" s="1"/>
  <c r="S18" i="18"/>
  <c r="P18" i="18"/>
  <c r="L18" i="18"/>
  <c r="F18" i="18" s="1"/>
  <c r="J18" i="18"/>
  <c r="H18" i="18"/>
  <c r="E17" i="28" s="1"/>
  <c r="S17" i="18"/>
  <c r="P17" i="18"/>
  <c r="L17" i="18"/>
  <c r="F17" i="18" s="1"/>
  <c r="J17" i="18"/>
  <c r="H17" i="18"/>
  <c r="E16" i="28" s="1"/>
  <c r="S16" i="18"/>
  <c r="P16" i="18"/>
  <c r="L16" i="18"/>
  <c r="F16" i="18" s="1"/>
  <c r="J16" i="18"/>
  <c r="H16" i="18"/>
  <c r="E15" i="28" s="1"/>
  <c r="S15" i="18"/>
  <c r="P15" i="18"/>
  <c r="L15" i="18"/>
  <c r="F15" i="18" s="1"/>
  <c r="J15" i="18"/>
  <c r="H15" i="18"/>
  <c r="E14" i="28" s="1"/>
  <c r="S14" i="18"/>
  <c r="P14" i="18"/>
  <c r="L14" i="18"/>
  <c r="F14" i="18" s="1"/>
  <c r="J14" i="18"/>
  <c r="H14" i="18"/>
  <c r="E13" i="28" s="1"/>
  <c r="S13" i="18"/>
  <c r="P13" i="18"/>
  <c r="L13" i="18"/>
  <c r="F13" i="18" s="1"/>
  <c r="J13" i="18"/>
  <c r="H13" i="18"/>
  <c r="E12" i="28" s="1"/>
  <c r="S12" i="18"/>
  <c r="P12" i="18"/>
  <c r="L12" i="18"/>
  <c r="F12" i="18" s="1"/>
  <c r="J12" i="18"/>
  <c r="H12" i="18"/>
  <c r="E11" i="28" s="1"/>
  <c r="S11" i="18"/>
  <c r="P11" i="18"/>
  <c r="L11" i="18"/>
  <c r="F11" i="18" s="1"/>
  <c r="J11" i="18"/>
  <c r="H11" i="18"/>
  <c r="E10" i="28" s="1"/>
  <c r="S10" i="18"/>
  <c r="P10" i="18"/>
  <c r="L10" i="18"/>
  <c r="F10" i="18" s="1"/>
  <c r="J10" i="18"/>
  <c r="H10" i="18"/>
  <c r="E9" i="28" s="1"/>
  <c r="S9" i="18"/>
  <c r="P9" i="18"/>
  <c r="L9" i="18"/>
  <c r="F9" i="18" s="1"/>
  <c r="J9" i="18"/>
  <c r="H9" i="18"/>
  <c r="E8" i="28" s="1"/>
  <c r="S8" i="18"/>
  <c r="P8" i="18"/>
  <c r="L8" i="18"/>
  <c r="F8" i="18" s="1"/>
  <c r="J8" i="18"/>
  <c r="H8" i="18"/>
  <c r="E7" i="28" s="1"/>
  <c r="S7" i="18"/>
  <c r="P7" i="18"/>
  <c r="L7" i="18"/>
  <c r="F7" i="18" s="1"/>
  <c r="J7" i="18"/>
  <c r="H7" i="18"/>
  <c r="E6" i="28" s="1"/>
  <c r="S6" i="18"/>
  <c r="P6" i="18"/>
  <c r="L6" i="18"/>
  <c r="F6" i="18" s="1"/>
  <c r="J6" i="18"/>
  <c r="H6" i="18"/>
  <c r="E5" i="28" s="1"/>
  <c r="S5" i="18"/>
  <c r="P5" i="18"/>
  <c r="L5" i="18"/>
  <c r="F5" i="18" s="1"/>
  <c r="J5" i="18"/>
  <c r="H5" i="18"/>
  <c r="E4" i="28" s="1"/>
  <c r="AB4" i="18"/>
  <c r="AB5" i="18" s="1"/>
  <c r="AB6" i="18" s="1"/>
  <c r="AB7" i="18" s="1"/>
  <c r="AB8" i="18" s="1"/>
  <c r="AB9" i="18" s="1"/>
  <c r="AB10" i="18" s="1"/>
  <c r="AB11" i="18" s="1"/>
  <c r="AB12" i="18" s="1"/>
  <c r="AB13" i="18" s="1"/>
  <c r="AB14" i="18" s="1"/>
  <c r="AB15" i="18" s="1"/>
  <c r="AB16" i="18" s="1"/>
  <c r="AB17" i="18" s="1"/>
  <c r="AB18" i="18" s="1"/>
  <c r="AB19" i="18" s="1"/>
  <c r="AB20" i="18" s="1"/>
  <c r="AB21" i="18" s="1"/>
  <c r="AB22" i="18" s="1"/>
  <c r="S4" i="18"/>
  <c r="P4" i="18"/>
  <c r="L4" i="18"/>
  <c r="F4" i="18" s="1"/>
  <c r="J4" i="18"/>
  <c r="H4" i="18"/>
  <c r="E3" i="28" s="1"/>
  <c r="AC3" i="18"/>
  <c r="AC4" i="18" s="1"/>
  <c r="AC5" i="18" s="1"/>
  <c r="AC6" i="18" s="1"/>
  <c r="AC7" i="18" s="1"/>
  <c r="AC8" i="18" s="1"/>
  <c r="AC9" i="18" s="1"/>
  <c r="AC10" i="18" s="1"/>
  <c r="AC11" i="18" s="1"/>
  <c r="AC12" i="18" s="1"/>
  <c r="AC13" i="18" s="1"/>
  <c r="AC14" i="18" s="1"/>
  <c r="AC15" i="18" s="1"/>
  <c r="AC16" i="18" s="1"/>
  <c r="AC17" i="18" s="1"/>
  <c r="AC18" i="18" s="1"/>
  <c r="AC19" i="18" s="1"/>
  <c r="AC20" i="18" s="1"/>
  <c r="AC21" i="18" s="1"/>
  <c r="AC22" i="18" s="1"/>
  <c r="W3" i="18"/>
  <c r="S3" i="18"/>
  <c r="P3" i="18"/>
  <c r="L3" i="18"/>
  <c r="F3" i="18" s="1"/>
  <c r="J3" i="18"/>
  <c r="H3" i="18"/>
  <c r="E2" i="28" s="1"/>
  <c r="AC2" i="18"/>
  <c r="E13" i="17"/>
  <c r="D13" i="17"/>
  <c r="C3" i="17"/>
  <c r="BB63" i="16"/>
  <c r="BA63" i="16"/>
  <c r="AZ63" i="16"/>
  <c r="AY63" i="16"/>
  <c r="AX63" i="16"/>
  <c r="AW63" i="16"/>
  <c r="AV63" i="16"/>
  <c r="AU63" i="16"/>
  <c r="AT63" i="16"/>
  <c r="AS63" i="16"/>
  <c r="AR63" i="16"/>
  <c r="AQ63" i="16"/>
  <c r="AP63" i="16"/>
  <c r="AO63" i="16"/>
  <c r="AN63" i="16"/>
  <c r="AM63" i="16"/>
  <c r="AL63" i="16"/>
  <c r="AK63" i="16"/>
  <c r="AJ63" i="16"/>
  <c r="AI63" i="16"/>
  <c r="AH63" i="16"/>
  <c r="AG63" i="16"/>
  <c r="AF63" i="16"/>
  <c r="AE63" i="16"/>
  <c r="AD63" i="16"/>
  <c r="AC63" i="16"/>
  <c r="AB63" i="16"/>
  <c r="AA63" i="16"/>
  <c r="Z63" i="16"/>
  <c r="Y63" i="16"/>
  <c r="X63" i="16"/>
  <c r="W63" i="16"/>
  <c r="V63" i="16"/>
  <c r="U63" i="16"/>
  <c r="T63" i="16"/>
  <c r="S63" i="16"/>
  <c r="R63" i="16"/>
  <c r="Q63" i="16"/>
  <c r="P63" i="16"/>
  <c r="O63" i="16"/>
  <c r="N63" i="16"/>
  <c r="M63" i="16"/>
  <c r="L63" i="16"/>
  <c r="K63" i="16"/>
  <c r="J63" i="16"/>
  <c r="I63" i="16"/>
  <c r="H63" i="16"/>
  <c r="G63" i="16"/>
  <c r="F63" i="16"/>
  <c r="E63" i="16"/>
  <c r="BC63" i="16" s="1"/>
  <c r="BB62" i="16"/>
  <c r="BA62" i="16"/>
  <c r="AZ62" i="16"/>
  <c r="AY62" i="16"/>
  <c r="AX62" i="16"/>
  <c r="AW62" i="16"/>
  <c r="AV62" i="16"/>
  <c r="AU62" i="16"/>
  <c r="AT62" i="16"/>
  <c r="AS62" i="16"/>
  <c r="AR62" i="16"/>
  <c r="AQ62" i="16"/>
  <c r="AP62" i="16"/>
  <c r="AO62" i="16"/>
  <c r="AN62" i="16"/>
  <c r="AM62" i="16"/>
  <c r="AL62" i="16"/>
  <c r="AK62" i="16"/>
  <c r="AJ62" i="16"/>
  <c r="AI62" i="16"/>
  <c r="AH62" i="16"/>
  <c r="AG62" i="16"/>
  <c r="AF62" i="16"/>
  <c r="AE62" i="16"/>
  <c r="AD62" i="16"/>
  <c r="AC62" i="16"/>
  <c r="AB62" i="16"/>
  <c r="AA62" i="16"/>
  <c r="Z62" i="16"/>
  <c r="Y62" i="16"/>
  <c r="X62" i="16"/>
  <c r="W62" i="16"/>
  <c r="V62" i="16"/>
  <c r="U62" i="16"/>
  <c r="T62" i="16"/>
  <c r="S62" i="16"/>
  <c r="R62" i="16"/>
  <c r="Q62" i="16"/>
  <c r="P62" i="16"/>
  <c r="O62" i="16"/>
  <c r="N62" i="16"/>
  <c r="M62" i="16"/>
  <c r="L62" i="16"/>
  <c r="K62" i="16"/>
  <c r="J62" i="16"/>
  <c r="I62" i="16"/>
  <c r="H62" i="16"/>
  <c r="G62" i="16"/>
  <c r="F62" i="16"/>
  <c r="E62" i="16"/>
  <c r="BC62" i="16" s="1"/>
  <c r="BB61" i="16"/>
  <c r="BA61" i="16"/>
  <c r="AZ61" i="16"/>
  <c r="AY61" i="16"/>
  <c r="AX61" i="16"/>
  <c r="AW61" i="16"/>
  <c r="AV61" i="16"/>
  <c r="AU61" i="16"/>
  <c r="AT61" i="16"/>
  <c r="AS61" i="16"/>
  <c r="AR61" i="16"/>
  <c r="AQ61" i="16"/>
  <c r="AP61" i="16"/>
  <c r="AO61" i="16"/>
  <c r="AN61" i="16"/>
  <c r="AM61" i="16"/>
  <c r="AL61" i="16"/>
  <c r="AK61" i="16"/>
  <c r="AJ61" i="16"/>
  <c r="AI61" i="16"/>
  <c r="AH61" i="16"/>
  <c r="AG61" i="16"/>
  <c r="AF61" i="16"/>
  <c r="AE61" i="16"/>
  <c r="AD61" i="16"/>
  <c r="AC61" i="16"/>
  <c r="AB61" i="16"/>
  <c r="AA61" i="16"/>
  <c r="Z61" i="16"/>
  <c r="Y61" i="16"/>
  <c r="X61" i="16"/>
  <c r="W61" i="16"/>
  <c r="V61" i="16"/>
  <c r="U61" i="16"/>
  <c r="T61" i="16"/>
  <c r="S61" i="16"/>
  <c r="R61" i="16"/>
  <c r="Q61" i="16"/>
  <c r="P61" i="16"/>
  <c r="O61" i="16"/>
  <c r="N61" i="16"/>
  <c r="M61" i="16"/>
  <c r="L61" i="16"/>
  <c r="K61" i="16"/>
  <c r="J61" i="16"/>
  <c r="I61" i="16"/>
  <c r="H61" i="16"/>
  <c r="G61" i="16"/>
  <c r="F61" i="16"/>
  <c r="E61" i="16"/>
  <c r="BC61" i="16" s="1"/>
  <c r="BB57" i="16"/>
  <c r="BA57" i="16"/>
  <c r="AZ57" i="16"/>
  <c r="AY57" i="16"/>
  <c r="AX57" i="16"/>
  <c r="AW57" i="16"/>
  <c r="AV57" i="16"/>
  <c r="AU57" i="16"/>
  <c r="AT57" i="16"/>
  <c r="AS57" i="16"/>
  <c r="AR57" i="16"/>
  <c r="AQ57" i="16"/>
  <c r="AP57" i="16"/>
  <c r="AO57" i="16"/>
  <c r="AN57" i="16"/>
  <c r="AM57" i="16"/>
  <c r="AL57" i="16"/>
  <c r="AK57" i="16"/>
  <c r="AJ57" i="16"/>
  <c r="AI57" i="16"/>
  <c r="AH57" i="16"/>
  <c r="AG57" i="16"/>
  <c r="AF57" i="16"/>
  <c r="AE57" i="16"/>
  <c r="AD57" i="16"/>
  <c r="AC57" i="16"/>
  <c r="AB57" i="16"/>
  <c r="AA57" i="16"/>
  <c r="Z57" i="16"/>
  <c r="Y57" i="16"/>
  <c r="X57" i="16"/>
  <c r="W57" i="16"/>
  <c r="V57" i="16"/>
  <c r="U57" i="16"/>
  <c r="T57" i="16"/>
  <c r="S57" i="16"/>
  <c r="R57" i="16"/>
  <c r="Q57" i="16"/>
  <c r="P57" i="16"/>
  <c r="O57" i="16"/>
  <c r="N57" i="16"/>
  <c r="M57" i="16"/>
  <c r="L57" i="16"/>
  <c r="K57" i="16"/>
  <c r="J57" i="16"/>
  <c r="I57" i="16"/>
  <c r="H57" i="16"/>
  <c r="G57" i="16"/>
  <c r="F57" i="16"/>
  <c r="E57" i="16"/>
  <c r="BC56" i="16"/>
  <c r="D56" i="16"/>
  <c r="C56" i="16"/>
  <c r="BC55" i="16"/>
  <c r="D55" i="16"/>
  <c r="C55" i="16"/>
  <c r="BC54" i="16"/>
  <c r="D54" i="16"/>
  <c r="C54" i="16"/>
  <c r="BC53" i="16"/>
  <c r="D53" i="16"/>
  <c r="C53" i="16"/>
  <c r="BC52" i="16"/>
  <c r="D52" i="16"/>
  <c r="C52" i="16"/>
  <c r="BC51" i="16"/>
  <c r="D51" i="16"/>
  <c r="C51" i="16"/>
  <c r="BC50" i="16"/>
  <c r="D50" i="16"/>
  <c r="C50" i="16"/>
  <c r="BC49" i="16"/>
  <c r="D49" i="16"/>
  <c r="C49" i="16"/>
  <c r="BC48" i="16"/>
  <c r="D48" i="16"/>
  <c r="C48" i="16"/>
  <c r="BC47" i="16"/>
  <c r="D47" i="16"/>
  <c r="C47" i="16"/>
  <c r="BC46" i="16"/>
  <c r="D46" i="16"/>
  <c r="C46" i="16"/>
  <c r="BC45" i="16"/>
  <c r="D45" i="16"/>
  <c r="C45" i="16"/>
  <c r="BC44" i="16"/>
  <c r="D44" i="16"/>
  <c r="C44" i="16"/>
  <c r="BC43" i="16"/>
  <c r="D43" i="16"/>
  <c r="C43" i="16"/>
  <c r="BC42" i="16"/>
  <c r="D42" i="16"/>
  <c r="C42" i="16"/>
  <c r="BC41" i="16"/>
  <c r="D41" i="16"/>
  <c r="C41" i="16"/>
  <c r="BC40" i="16"/>
  <c r="BC39" i="16"/>
  <c r="BC38" i="16"/>
  <c r="BC37" i="16"/>
  <c r="BC36" i="16"/>
  <c r="BC35" i="16"/>
  <c r="BC34" i="16"/>
  <c r="BC33" i="16"/>
  <c r="BC32" i="16"/>
  <c r="BC31" i="16"/>
  <c r="BC30" i="16"/>
  <c r="BC29" i="16"/>
  <c r="BC28" i="16"/>
  <c r="BC27" i="16"/>
  <c r="BC26" i="16"/>
  <c r="BC25" i="16"/>
  <c r="BC24" i="16"/>
  <c r="BC23" i="16"/>
  <c r="BC22" i="16"/>
  <c r="BC21" i="16"/>
  <c r="BC20" i="16"/>
  <c r="BC19" i="16"/>
  <c r="BC18" i="16"/>
  <c r="BC17" i="16"/>
  <c r="BC16" i="16"/>
  <c r="BC15" i="16"/>
  <c r="BC14" i="16"/>
  <c r="BC13" i="16"/>
  <c r="BC12" i="16"/>
  <c r="BC11" i="16"/>
  <c r="BC10" i="16"/>
  <c r="BC9" i="16"/>
  <c r="BC8" i="16"/>
  <c r="BC7" i="16"/>
  <c r="BB6" i="16"/>
  <c r="BA6" i="16"/>
  <c r="AZ6" i="16"/>
  <c r="AY6" i="16"/>
  <c r="AX6" i="16"/>
  <c r="AW6" i="16"/>
  <c r="AV6" i="16"/>
  <c r="AU6" i="16"/>
  <c r="AT6" i="16"/>
  <c r="AS6" i="16"/>
  <c r="AR6" i="16"/>
  <c r="AQ6" i="16"/>
  <c r="AP6" i="16"/>
  <c r="AO6" i="16"/>
  <c r="AN6" i="16"/>
  <c r="AM6" i="16"/>
  <c r="AL6" i="16"/>
  <c r="AK6" i="16"/>
  <c r="AJ6" i="16"/>
  <c r="AI6" i="16"/>
  <c r="AH6" i="16"/>
  <c r="AG6" i="16"/>
  <c r="AF6" i="16"/>
  <c r="AE6" i="16"/>
  <c r="AD6" i="16"/>
  <c r="AC6" i="16"/>
  <c r="AB6" i="16"/>
  <c r="AA6" i="16"/>
  <c r="Z6" i="16"/>
  <c r="Y6" i="16"/>
  <c r="X6" i="16"/>
  <c r="W6" i="16"/>
  <c r="V6" i="16"/>
  <c r="U6" i="16"/>
  <c r="T6" i="16"/>
  <c r="S6" i="16"/>
  <c r="R6" i="16"/>
  <c r="Q6" i="16"/>
  <c r="P6" i="16"/>
  <c r="O6" i="16"/>
  <c r="N6" i="16"/>
  <c r="M6" i="16"/>
  <c r="L6" i="16"/>
  <c r="K6" i="16"/>
  <c r="J6" i="16"/>
  <c r="I6" i="16"/>
  <c r="H6" i="16"/>
  <c r="G6" i="16"/>
  <c r="F6" i="16"/>
  <c r="E6" i="16"/>
  <c r="C3" i="16"/>
  <c r="D19" i="15"/>
  <c r="D20" i="15" s="1"/>
  <c r="D17" i="15"/>
  <c r="D15" i="15"/>
  <c r="D16" i="15" s="1"/>
  <c r="BB58" i="14"/>
  <c r="BA58" i="14"/>
  <c r="AZ58" i="14"/>
  <c r="AY58" i="14"/>
  <c r="AX58" i="14"/>
  <c r="AW58" i="14"/>
  <c r="AV58" i="14"/>
  <c r="AU58" i="14"/>
  <c r="AT58" i="14"/>
  <c r="AS58" i="14"/>
  <c r="AR58" i="14"/>
  <c r="AQ58" i="14"/>
  <c r="AP58" i="14"/>
  <c r="AO58" i="14"/>
  <c r="AN58" i="14"/>
  <c r="AM58" i="14"/>
  <c r="AL58" i="14"/>
  <c r="AK58" i="14"/>
  <c r="AJ58" i="14"/>
  <c r="AI58" i="14"/>
  <c r="AH58" i="14"/>
  <c r="AG58" i="14"/>
  <c r="AF58" i="14"/>
  <c r="AE58" i="14"/>
  <c r="AD58" i="14"/>
  <c r="AC58" i="14"/>
  <c r="AB58" i="14"/>
  <c r="AA58" i="14"/>
  <c r="Z58" i="14"/>
  <c r="Y58" i="14"/>
  <c r="X58" i="14"/>
  <c r="W58" i="14"/>
  <c r="V58" i="14"/>
  <c r="U58" i="14"/>
  <c r="T58" i="14"/>
  <c r="S58" i="14"/>
  <c r="R58" i="14"/>
  <c r="Q58" i="14"/>
  <c r="P58" i="14"/>
  <c r="O58" i="14"/>
  <c r="N58" i="14"/>
  <c r="M58" i="14"/>
  <c r="L58" i="14"/>
  <c r="K58" i="14"/>
  <c r="J58" i="14"/>
  <c r="I58" i="14"/>
  <c r="H58" i="14"/>
  <c r="G58" i="14"/>
  <c r="F58" i="14"/>
  <c r="E58" i="14"/>
  <c r="BC57" i="14"/>
  <c r="D57" i="14"/>
  <c r="C57" i="14"/>
  <c r="BC56" i="14"/>
  <c r="D56" i="14"/>
  <c r="C56" i="14"/>
  <c r="BC55" i="14"/>
  <c r="D55" i="14"/>
  <c r="C55" i="14"/>
  <c r="BC54" i="14"/>
  <c r="D54" i="14"/>
  <c r="C54" i="14"/>
  <c r="BC53" i="14"/>
  <c r="D53" i="14"/>
  <c r="C53" i="14"/>
  <c r="BC52" i="14"/>
  <c r="D52" i="14"/>
  <c r="C52" i="14"/>
  <c r="BC51" i="14"/>
  <c r="D51" i="14"/>
  <c r="C51" i="14"/>
  <c r="BC50" i="14"/>
  <c r="D50" i="14"/>
  <c r="C50" i="14"/>
  <c r="BC49" i="14"/>
  <c r="D49" i="14"/>
  <c r="C49" i="14"/>
  <c r="BC48" i="14"/>
  <c r="D48" i="14"/>
  <c r="C48" i="14"/>
  <c r="BC47" i="14"/>
  <c r="D47" i="14"/>
  <c r="C47" i="14"/>
  <c r="BC46" i="14"/>
  <c r="D46" i="14"/>
  <c r="C46" i="14"/>
  <c r="BC45" i="14"/>
  <c r="D45" i="14"/>
  <c r="C45" i="14"/>
  <c r="BC44" i="14"/>
  <c r="D44" i="14"/>
  <c r="C44" i="14"/>
  <c r="BC43" i="14"/>
  <c r="D43" i="14"/>
  <c r="C43" i="14"/>
  <c r="BC42" i="14"/>
  <c r="D42" i="14"/>
  <c r="C42" i="14"/>
  <c r="BC41" i="14"/>
  <c r="BC40" i="14"/>
  <c r="BC39" i="14"/>
  <c r="BC38" i="14"/>
  <c r="BC37" i="14"/>
  <c r="BC36" i="14"/>
  <c r="BC35" i="14"/>
  <c r="BC34" i="14"/>
  <c r="BC33" i="14"/>
  <c r="BC32" i="14"/>
  <c r="BC31" i="14"/>
  <c r="BC30" i="14"/>
  <c r="BC29" i="14"/>
  <c r="BC28" i="14"/>
  <c r="BC27" i="14"/>
  <c r="BC26" i="14"/>
  <c r="BC25" i="14"/>
  <c r="BC24" i="14"/>
  <c r="BC23" i="14"/>
  <c r="BC22" i="14"/>
  <c r="BC21" i="14"/>
  <c r="BC20" i="14"/>
  <c r="BC19" i="14"/>
  <c r="BC18" i="14"/>
  <c r="BC17" i="14"/>
  <c r="BC16" i="14"/>
  <c r="BC15" i="14"/>
  <c r="BC14" i="14"/>
  <c r="BC13" i="14"/>
  <c r="BC12" i="14"/>
  <c r="BC11" i="14"/>
  <c r="BC10" i="14"/>
  <c r="BC9" i="14"/>
  <c r="BC8" i="14"/>
  <c r="BB7" i="14"/>
  <c r="BA7" i="14"/>
  <c r="AZ7" i="14"/>
  <c r="AY7" i="14"/>
  <c r="AX7" i="14"/>
  <c r="AW7" i="14"/>
  <c r="AV7" i="14"/>
  <c r="AU7" i="14"/>
  <c r="AT7" i="14"/>
  <c r="AS7" i="14"/>
  <c r="AR7" i="14"/>
  <c r="AQ7" i="14"/>
  <c r="AP7" i="14"/>
  <c r="AO7" i="14"/>
  <c r="AN7" i="14"/>
  <c r="AM7" i="14"/>
  <c r="BB6" i="14"/>
  <c r="BA6" i="14"/>
  <c r="AZ6" i="14"/>
  <c r="AY6" i="14"/>
  <c r="AX6" i="14"/>
  <c r="AW6" i="14"/>
  <c r="AV6" i="14"/>
  <c r="AU6" i="14"/>
  <c r="AT6" i="14"/>
  <c r="AS6" i="14"/>
  <c r="AR6" i="14"/>
  <c r="AQ6" i="14"/>
  <c r="AP6" i="14"/>
  <c r="AO6" i="14"/>
  <c r="AN6" i="14"/>
  <c r="AM6" i="14"/>
  <c r="C58" i="13"/>
  <c r="AI57" i="13"/>
  <c r="AA57" i="13"/>
  <c r="S57" i="13"/>
  <c r="L57" i="13"/>
  <c r="E57" i="13"/>
  <c r="D57" i="13"/>
  <c r="C57" i="13"/>
  <c r="AI56" i="13"/>
  <c r="AA56" i="13"/>
  <c r="S56" i="13"/>
  <c r="L56" i="13"/>
  <c r="E56" i="13"/>
  <c r="D56" i="13"/>
  <c r="C56" i="13"/>
  <c r="AI55" i="13"/>
  <c r="AA55" i="13"/>
  <c r="S55" i="13"/>
  <c r="L55" i="13"/>
  <c r="E55" i="13"/>
  <c r="D55" i="13"/>
  <c r="C55" i="13"/>
  <c r="AI54" i="13"/>
  <c r="AA54" i="13"/>
  <c r="S54" i="13"/>
  <c r="L54" i="13"/>
  <c r="E54" i="13"/>
  <c r="D54" i="13"/>
  <c r="C54" i="13"/>
  <c r="AI53" i="13"/>
  <c r="AA53" i="13"/>
  <c r="S53" i="13"/>
  <c r="L53" i="13"/>
  <c r="E53" i="13"/>
  <c r="D53" i="13"/>
  <c r="C53" i="13"/>
  <c r="AI52" i="13"/>
  <c r="AA52" i="13"/>
  <c r="S52" i="13"/>
  <c r="L52" i="13"/>
  <c r="E52" i="13"/>
  <c r="D52" i="13"/>
  <c r="C52" i="13"/>
  <c r="AI51" i="13"/>
  <c r="AA51" i="13"/>
  <c r="S51" i="13"/>
  <c r="L51" i="13"/>
  <c r="E51" i="13"/>
  <c r="D51" i="13"/>
  <c r="C51" i="13"/>
  <c r="AI50" i="13"/>
  <c r="AA50" i="13"/>
  <c r="S50" i="13"/>
  <c r="L50" i="13"/>
  <c r="E50" i="13"/>
  <c r="D50" i="13"/>
  <c r="C50" i="13"/>
  <c r="AI49" i="13"/>
  <c r="AA49" i="13"/>
  <c r="S49" i="13"/>
  <c r="L49" i="13"/>
  <c r="E49" i="13"/>
  <c r="D49" i="13"/>
  <c r="C49" i="13"/>
  <c r="AI48" i="13"/>
  <c r="AA48" i="13"/>
  <c r="S48" i="13"/>
  <c r="L48" i="13"/>
  <c r="E48" i="13"/>
  <c r="D48" i="13"/>
  <c r="C48" i="13"/>
  <c r="AI47" i="13"/>
  <c r="AA47" i="13"/>
  <c r="S47" i="13"/>
  <c r="L47" i="13"/>
  <c r="E47" i="13"/>
  <c r="D47" i="13"/>
  <c r="C47" i="13"/>
  <c r="AI46" i="13"/>
  <c r="AA46" i="13"/>
  <c r="S46" i="13"/>
  <c r="L46" i="13"/>
  <c r="E46" i="13"/>
  <c r="D46" i="13"/>
  <c r="C46" i="13"/>
  <c r="AI45" i="13"/>
  <c r="AA45" i="13"/>
  <c r="S45" i="13"/>
  <c r="L45" i="13"/>
  <c r="E45" i="13"/>
  <c r="D45" i="13"/>
  <c r="C45" i="13"/>
  <c r="AI44" i="13"/>
  <c r="AA44" i="13"/>
  <c r="S44" i="13"/>
  <c r="L44" i="13"/>
  <c r="E44" i="13"/>
  <c r="D44" i="13"/>
  <c r="C44" i="13"/>
  <c r="AI43" i="13"/>
  <c r="AA43" i="13"/>
  <c r="S43" i="13"/>
  <c r="L43" i="13"/>
  <c r="E43" i="13"/>
  <c r="D43" i="13"/>
  <c r="C43" i="13"/>
  <c r="AI42" i="13"/>
  <c r="AA42" i="13"/>
  <c r="S42" i="13"/>
  <c r="L42" i="13"/>
  <c r="E42" i="13"/>
  <c r="D42" i="13"/>
  <c r="C42" i="13"/>
  <c r="AI41" i="13"/>
  <c r="P35" i="28" s="1"/>
  <c r="AA41" i="13"/>
  <c r="O35" i="28" s="1"/>
  <c r="S41" i="13"/>
  <c r="N35" i="28" s="1"/>
  <c r="L41" i="13"/>
  <c r="M35" i="28" s="1"/>
  <c r="E41" i="13"/>
  <c r="L35" i="28" s="1"/>
  <c r="Q35" i="28" s="1"/>
  <c r="AI40" i="13"/>
  <c r="P34" i="28" s="1"/>
  <c r="AA40" i="13"/>
  <c r="O34" i="28" s="1"/>
  <c r="S40" i="13"/>
  <c r="N34" i="28" s="1"/>
  <c r="L40" i="13"/>
  <c r="M34" i="28" s="1"/>
  <c r="E40" i="13"/>
  <c r="L34" i="28" s="1"/>
  <c r="AI39" i="13"/>
  <c r="AA39" i="13"/>
  <c r="S39" i="13"/>
  <c r="L39" i="13"/>
  <c r="E39" i="13"/>
  <c r="AI38" i="13"/>
  <c r="AA38" i="13"/>
  <c r="S38" i="13"/>
  <c r="L38" i="13"/>
  <c r="E38" i="13"/>
  <c r="AI37" i="13"/>
  <c r="AA37" i="13"/>
  <c r="S37" i="13"/>
  <c r="L37" i="13"/>
  <c r="E37" i="13"/>
  <c r="AI36" i="13"/>
  <c r="AA36" i="13"/>
  <c r="S36" i="13"/>
  <c r="L36" i="13"/>
  <c r="E36" i="13"/>
  <c r="AI35" i="13"/>
  <c r="AA35" i="13"/>
  <c r="S35" i="13"/>
  <c r="L35" i="13"/>
  <c r="E35" i="13"/>
  <c r="AI34" i="13"/>
  <c r="AA34" i="13"/>
  <c r="S34" i="13"/>
  <c r="L34" i="13"/>
  <c r="E34" i="13"/>
  <c r="AI33" i="13"/>
  <c r="AA33" i="13"/>
  <c r="S33" i="13"/>
  <c r="L33" i="13"/>
  <c r="E33" i="13"/>
  <c r="AI32" i="13"/>
  <c r="AA32" i="13"/>
  <c r="S32" i="13"/>
  <c r="L32" i="13"/>
  <c r="E32" i="13"/>
  <c r="AI31" i="13"/>
  <c r="AA31" i="13"/>
  <c r="S31" i="13"/>
  <c r="L31" i="13"/>
  <c r="E31" i="13"/>
  <c r="AI30" i="13"/>
  <c r="AA30" i="13"/>
  <c r="S30" i="13"/>
  <c r="L30" i="13"/>
  <c r="E30" i="13"/>
  <c r="AI29" i="13"/>
  <c r="AA29" i="13"/>
  <c r="S29" i="13"/>
  <c r="L29" i="13"/>
  <c r="E29" i="13"/>
  <c r="AI28" i="13"/>
  <c r="AA28" i="13"/>
  <c r="S28" i="13"/>
  <c r="L28" i="13"/>
  <c r="E28" i="13"/>
  <c r="AI27" i="13"/>
  <c r="AA27" i="13"/>
  <c r="S27" i="13"/>
  <c r="L27" i="13"/>
  <c r="E27" i="13"/>
  <c r="AI26" i="13"/>
  <c r="AA26" i="13"/>
  <c r="S26" i="13"/>
  <c r="L26" i="13"/>
  <c r="E26" i="13"/>
  <c r="AI25" i="13"/>
  <c r="AA25" i="13"/>
  <c r="S25" i="13"/>
  <c r="L25" i="13"/>
  <c r="E25" i="13"/>
  <c r="AI24" i="13"/>
  <c r="P18" i="28" s="1"/>
  <c r="AA24" i="13"/>
  <c r="O18" i="28" s="1"/>
  <c r="S24" i="13"/>
  <c r="N18" i="28" s="1"/>
  <c r="L24" i="13"/>
  <c r="M18" i="28" s="1"/>
  <c r="E24" i="13"/>
  <c r="L18" i="28" s="1"/>
  <c r="Q18" i="28" s="1"/>
  <c r="AI23" i="13"/>
  <c r="AA23" i="13"/>
  <c r="S23" i="13"/>
  <c r="L23" i="13"/>
  <c r="E23" i="13"/>
  <c r="AI22" i="13"/>
  <c r="AA22" i="13"/>
  <c r="S22" i="13"/>
  <c r="L22" i="13"/>
  <c r="E22" i="13"/>
  <c r="AI21" i="13"/>
  <c r="AA21" i="13"/>
  <c r="S21" i="13"/>
  <c r="L21" i="13"/>
  <c r="E21" i="13"/>
  <c r="AI20" i="13"/>
  <c r="AA20" i="13"/>
  <c r="S20" i="13"/>
  <c r="L20" i="13"/>
  <c r="E20" i="13"/>
  <c r="AI19" i="13"/>
  <c r="AA19" i="13"/>
  <c r="S19" i="13"/>
  <c r="L19" i="13"/>
  <c r="E19" i="13"/>
  <c r="AI18" i="13"/>
  <c r="AA18" i="13"/>
  <c r="S18" i="13"/>
  <c r="L18" i="13"/>
  <c r="E18" i="13"/>
  <c r="AI17" i="13"/>
  <c r="AA17" i="13"/>
  <c r="S17" i="13"/>
  <c r="L17" i="13"/>
  <c r="E17" i="13"/>
  <c r="AI16" i="13"/>
  <c r="AA16" i="13"/>
  <c r="S16" i="13"/>
  <c r="L16" i="13"/>
  <c r="E16" i="13"/>
  <c r="AI15" i="13"/>
  <c r="AA15" i="13"/>
  <c r="S15" i="13"/>
  <c r="L15" i="13"/>
  <c r="E15" i="13"/>
  <c r="AI14" i="13"/>
  <c r="AA14" i="13"/>
  <c r="S14" i="13"/>
  <c r="L14" i="13"/>
  <c r="E14" i="13"/>
  <c r="AI13" i="13"/>
  <c r="AA13" i="13"/>
  <c r="S13" i="13"/>
  <c r="L13" i="13"/>
  <c r="E13" i="13"/>
  <c r="AI12" i="13"/>
  <c r="AA12" i="13"/>
  <c r="S12" i="13"/>
  <c r="L12" i="13"/>
  <c r="E12" i="13"/>
  <c r="AI11" i="13"/>
  <c r="AA11" i="13"/>
  <c r="S11" i="13"/>
  <c r="L11" i="13"/>
  <c r="E11" i="13"/>
  <c r="AI10" i="13"/>
  <c r="AA10" i="13"/>
  <c r="S10" i="13"/>
  <c r="L10" i="13"/>
  <c r="E10" i="13"/>
  <c r="AI9" i="13"/>
  <c r="AA9" i="13"/>
  <c r="S9" i="13"/>
  <c r="L9" i="13"/>
  <c r="E9" i="13"/>
  <c r="AI8" i="13"/>
  <c r="AA8" i="13"/>
  <c r="S8" i="13"/>
  <c r="L8" i="13"/>
  <c r="E8" i="13"/>
  <c r="C3" i="13"/>
  <c r="K36" i="12"/>
  <c r="G36" i="12"/>
  <c r="F36" i="12"/>
  <c r="K35" i="12"/>
  <c r="G35" i="12"/>
  <c r="F35" i="12"/>
  <c r="K34" i="12"/>
  <c r="G34" i="12"/>
  <c r="F34" i="12"/>
  <c r="K33" i="12"/>
  <c r="G33" i="12"/>
  <c r="F33" i="12"/>
  <c r="K32" i="12"/>
  <c r="G32" i="12"/>
  <c r="F32" i="12"/>
  <c r="K31" i="12"/>
  <c r="G31" i="12"/>
  <c r="F31" i="12"/>
  <c r="K30" i="12"/>
  <c r="G30" i="12"/>
  <c r="F30" i="12"/>
  <c r="K29" i="12"/>
  <c r="G29" i="12"/>
  <c r="F29" i="12"/>
  <c r="K28" i="12"/>
  <c r="G28" i="12"/>
  <c r="F28" i="12"/>
  <c r="K27" i="12"/>
  <c r="G27" i="12"/>
  <c r="F27" i="12"/>
  <c r="K26" i="12"/>
  <c r="G26" i="12"/>
  <c r="F26" i="12"/>
  <c r="K25" i="12"/>
  <c r="G25" i="12"/>
  <c r="F25" i="12"/>
  <c r="K24" i="12"/>
  <c r="G24" i="12"/>
  <c r="F24" i="12"/>
  <c r="K23" i="12"/>
  <c r="G23" i="12"/>
  <c r="F23" i="12"/>
  <c r="K22" i="12"/>
  <c r="G22" i="12"/>
  <c r="F22" i="12"/>
  <c r="K21" i="12"/>
  <c r="G21" i="12"/>
  <c r="F21" i="12"/>
  <c r="K20" i="12"/>
  <c r="G20" i="12"/>
  <c r="N20" i="12" s="1"/>
  <c r="F20" i="12"/>
  <c r="K19" i="12"/>
  <c r="G19" i="12"/>
  <c r="N19" i="12" s="1"/>
  <c r="F19" i="12"/>
  <c r="K18" i="12"/>
  <c r="G18" i="12"/>
  <c r="N18" i="12" s="1"/>
  <c r="F18" i="12"/>
  <c r="K17" i="12"/>
  <c r="G17" i="12"/>
  <c r="N17" i="12" s="1"/>
  <c r="F17" i="12"/>
  <c r="K16" i="12"/>
  <c r="G16" i="12"/>
  <c r="N16" i="12" s="1"/>
  <c r="F16" i="12"/>
  <c r="K15" i="12"/>
  <c r="G15" i="12"/>
  <c r="N15" i="12" s="1"/>
  <c r="F15" i="12"/>
  <c r="K14" i="12"/>
  <c r="G14" i="12"/>
  <c r="N14" i="12" s="1"/>
  <c r="F14" i="12"/>
  <c r="K13" i="12"/>
  <c r="G13" i="12"/>
  <c r="N13" i="12" s="1"/>
  <c r="F13" i="12"/>
  <c r="K12" i="12"/>
  <c r="G12" i="12"/>
  <c r="N12" i="12" s="1"/>
  <c r="F12" i="12"/>
  <c r="K11" i="12"/>
  <c r="G11" i="12"/>
  <c r="N11" i="12" s="1"/>
  <c r="F11" i="12"/>
  <c r="K10" i="12"/>
  <c r="G10" i="12"/>
  <c r="N10" i="12" s="1"/>
  <c r="F10" i="12"/>
  <c r="K9" i="12"/>
  <c r="G9" i="12"/>
  <c r="N9" i="12" s="1"/>
  <c r="F9" i="12"/>
  <c r="G8" i="12"/>
  <c r="N8" i="12" s="1"/>
  <c r="F8" i="12"/>
  <c r="G7" i="12"/>
  <c r="N7" i="12" s="1"/>
  <c r="F7" i="12"/>
  <c r="G6" i="12"/>
  <c r="N6" i="12" s="1"/>
  <c r="F6" i="12"/>
  <c r="AF36" i="11"/>
  <c r="O36" i="11"/>
  <c r="M36" i="11"/>
  <c r="K36" i="11"/>
  <c r="C36" i="11"/>
  <c r="B36" i="11"/>
  <c r="A36" i="11"/>
  <c r="AF35" i="11"/>
  <c r="O35" i="11"/>
  <c r="M35" i="11"/>
  <c r="K35" i="11"/>
  <c r="C35" i="11"/>
  <c r="B35" i="11"/>
  <c r="A35" i="11"/>
  <c r="AF34" i="11"/>
  <c r="O34" i="11"/>
  <c r="M34" i="11"/>
  <c r="K34" i="11"/>
  <c r="C34" i="11"/>
  <c r="B34" i="11"/>
  <c r="A34" i="11"/>
  <c r="AF33" i="11"/>
  <c r="O33" i="11"/>
  <c r="M33" i="11"/>
  <c r="K33" i="11"/>
  <c r="C33" i="11"/>
  <c r="B33" i="11"/>
  <c r="A33" i="11"/>
  <c r="AF32" i="11"/>
  <c r="O32" i="11"/>
  <c r="M32" i="11"/>
  <c r="K32" i="11"/>
  <c r="C32" i="11"/>
  <c r="B32" i="11"/>
  <c r="A32" i="11"/>
  <c r="AF31" i="11"/>
  <c r="O31" i="11"/>
  <c r="M31" i="11"/>
  <c r="K31" i="11"/>
  <c r="C31" i="11"/>
  <c r="B31" i="11"/>
  <c r="A31" i="11"/>
  <c r="AF30" i="11"/>
  <c r="O30" i="11"/>
  <c r="M30" i="11"/>
  <c r="K30" i="11"/>
  <c r="C30" i="11"/>
  <c r="B30" i="11"/>
  <c r="A30" i="11"/>
  <c r="AF29" i="11"/>
  <c r="O29" i="11"/>
  <c r="M29" i="11"/>
  <c r="K29" i="11"/>
  <c r="C29" i="11"/>
  <c r="B29" i="11"/>
  <c r="A29" i="11"/>
  <c r="AF28" i="11"/>
  <c r="O28" i="11"/>
  <c r="M28" i="11"/>
  <c r="K28" i="11"/>
  <c r="C28" i="11"/>
  <c r="B28" i="11"/>
  <c r="A28" i="11"/>
  <c r="AF27" i="11"/>
  <c r="O27" i="11"/>
  <c r="M27" i="11"/>
  <c r="K27" i="11"/>
  <c r="C27" i="11"/>
  <c r="B27" i="11"/>
  <c r="A27" i="11"/>
  <c r="AF26" i="11"/>
  <c r="O26" i="11"/>
  <c r="M26" i="11"/>
  <c r="K26" i="11"/>
  <c r="C26" i="11"/>
  <c r="B26" i="11"/>
  <c r="A26" i="11"/>
  <c r="AF25" i="11"/>
  <c r="O25" i="11"/>
  <c r="M25" i="11"/>
  <c r="K25" i="11"/>
  <c r="D25" i="11"/>
  <c r="G25" i="11" s="1"/>
  <c r="C25" i="11"/>
  <c r="B25" i="11"/>
  <c r="A25" i="11"/>
  <c r="AF24" i="11"/>
  <c r="O24" i="11"/>
  <c r="M24" i="11"/>
  <c r="K24" i="11"/>
  <c r="D24" i="11"/>
  <c r="G24" i="11" s="1"/>
  <c r="C24" i="11"/>
  <c r="B24" i="11"/>
  <c r="A24" i="11"/>
  <c r="AF23" i="11"/>
  <c r="O23" i="11"/>
  <c r="M23" i="11"/>
  <c r="K23" i="11"/>
  <c r="D23" i="11"/>
  <c r="G23" i="11" s="1"/>
  <c r="C23" i="11"/>
  <c r="B23" i="11"/>
  <c r="A23" i="11"/>
  <c r="AF22" i="11"/>
  <c r="O22" i="11"/>
  <c r="M22" i="11"/>
  <c r="K22" i="11"/>
  <c r="D22" i="11"/>
  <c r="G22" i="11" s="1"/>
  <c r="C22" i="11"/>
  <c r="B22" i="11"/>
  <c r="A22" i="11"/>
  <c r="AF21" i="11"/>
  <c r="O21" i="11"/>
  <c r="M21" i="11"/>
  <c r="K21" i="11"/>
  <c r="D21" i="11"/>
  <c r="G21" i="11" s="1"/>
  <c r="C21" i="11"/>
  <c r="B21" i="11"/>
  <c r="A21" i="11"/>
  <c r="AF20" i="11"/>
  <c r="O20" i="11"/>
  <c r="M20" i="11"/>
  <c r="K20" i="11"/>
  <c r="D20" i="11"/>
  <c r="G20" i="11" s="1"/>
  <c r="C20" i="11"/>
  <c r="B20" i="11"/>
  <c r="A20" i="11"/>
  <c r="AF19" i="11"/>
  <c r="O19" i="11"/>
  <c r="M19" i="11"/>
  <c r="K19" i="11"/>
  <c r="D19" i="11"/>
  <c r="G19" i="11" s="1"/>
  <c r="C19" i="11"/>
  <c r="B19" i="11"/>
  <c r="A19" i="11"/>
  <c r="AF18" i="11"/>
  <c r="O18" i="11"/>
  <c r="M18" i="11"/>
  <c r="K18" i="11"/>
  <c r="D18" i="11"/>
  <c r="G18" i="11" s="1"/>
  <c r="C18" i="11"/>
  <c r="B18" i="11"/>
  <c r="A18" i="11"/>
  <c r="AF17" i="11"/>
  <c r="O17" i="11"/>
  <c r="M17" i="11"/>
  <c r="K17" i="11"/>
  <c r="D17" i="11"/>
  <c r="G17" i="11" s="1"/>
  <c r="C17" i="11"/>
  <c r="B17" i="11"/>
  <c r="A17" i="11"/>
  <c r="AF16" i="11"/>
  <c r="O16" i="11"/>
  <c r="M16" i="11"/>
  <c r="K16" i="11"/>
  <c r="D16" i="11"/>
  <c r="G16" i="11" s="1"/>
  <c r="C16" i="11"/>
  <c r="B16" i="11"/>
  <c r="A16" i="11"/>
  <c r="AF15" i="11"/>
  <c r="O15" i="11"/>
  <c r="F40" i="24" s="1"/>
  <c r="M15" i="11"/>
  <c r="K15" i="11"/>
  <c r="D15" i="11"/>
  <c r="G15" i="11" s="1"/>
  <c r="C15" i="11"/>
  <c r="B15" i="11"/>
  <c r="A15" i="11"/>
  <c r="AF14" i="11"/>
  <c r="O14" i="11"/>
  <c r="F39" i="24" s="1"/>
  <c r="M14" i="11"/>
  <c r="K14" i="11"/>
  <c r="D14" i="11"/>
  <c r="G14" i="11" s="1"/>
  <c r="C14" i="11"/>
  <c r="B14" i="11"/>
  <c r="A14" i="11"/>
  <c r="AF13" i="11"/>
  <c r="O13" i="11"/>
  <c r="F38" i="24" s="1"/>
  <c r="M13" i="11"/>
  <c r="K13" i="11"/>
  <c r="D13" i="11"/>
  <c r="G13" i="11" s="1"/>
  <c r="C13" i="11"/>
  <c r="B13" i="11"/>
  <c r="A13" i="11"/>
  <c r="AF12" i="11"/>
  <c r="O12" i="11"/>
  <c r="F37" i="24" s="1"/>
  <c r="M12" i="11"/>
  <c r="K12" i="11"/>
  <c r="D12" i="11"/>
  <c r="G12" i="11" s="1"/>
  <c r="C12" i="11"/>
  <c r="B12" i="11"/>
  <c r="A12" i="11"/>
  <c r="AF11" i="11"/>
  <c r="O11" i="11"/>
  <c r="M11" i="11"/>
  <c r="K11" i="11"/>
  <c r="D11" i="11"/>
  <c r="G11" i="11" s="1"/>
  <c r="C11" i="11"/>
  <c r="B11" i="11"/>
  <c r="A11" i="11"/>
  <c r="AF10" i="11"/>
  <c r="O10" i="11"/>
  <c r="F35" i="24" s="1"/>
  <c r="M10" i="11"/>
  <c r="K10" i="11"/>
  <c r="D10" i="11"/>
  <c r="G10" i="11" s="1"/>
  <c r="C10" i="11"/>
  <c r="B10" i="11"/>
  <c r="A10" i="11"/>
  <c r="AF9" i="11"/>
  <c r="O9" i="11"/>
  <c r="F34" i="24" s="1"/>
  <c r="M9" i="11"/>
  <c r="K9" i="11"/>
  <c r="D9" i="11"/>
  <c r="G9" i="11" s="1"/>
  <c r="C9" i="11"/>
  <c r="B9" i="11"/>
  <c r="A9" i="11"/>
  <c r="AF8" i="11"/>
  <c r="M8" i="11"/>
  <c r="K8" i="11"/>
  <c r="D8" i="11"/>
  <c r="G8" i="11" s="1"/>
  <c r="C8" i="11"/>
  <c r="B8" i="11"/>
  <c r="A8" i="11"/>
  <c r="AF7" i="11"/>
  <c r="M7" i="11"/>
  <c r="K7" i="11"/>
  <c r="D7" i="11"/>
  <c r="G7" i="11" s="1"/>
  <c r="C7" i="11"/>
  <c r="B7" i="11"/>
  <c r="A7" i="11"/>
  <c r="AF6" i="11"/>
  <c r="M6" i="11"/>
  <c r="K6" i="11"/>
  <c r="D6" i="11"/>
  <c r="G6" i="11" s="1"/>
  <c r="C6" i="11"/>
  <c r="B6" i="11"/>
  <c r="A6" i="11"/>
  <c r="AB36" i="10"/>
  <c r="M36" i="10"/>
  <c r="H36" i="10"/>
  <c r="E36" i="10"/>
  <c r="D36" i="10"/>
  <c r="B36" i="10"/>
  <c r="A36" i="10"/>
  <c r="AB35" i="10"/>
  <c r="M35" i="10"/>
  <c r="H35" i="10"/>
  <c r="E35" i="10"/>
  <c r="D35" i="10"/>
  <c r="B35" i="10"/>
  <c r="A35" i="10"/>
  <c r="AB34" i="10"/>
  <c r="M34" i="10"/>
  <c r="H34" i="10"/>
  <c r="E34" i="10"/>
  <c r="D34" i="10"/>
  <c r="B34" i="10"/>
  <c r="A34" i="10"/>
  <c r="AB33" i="10"/>
  <c r="M33" i="10"/>
  <c r="H33" i="10"/>
  <c r="E33" i="10"/>
  <c r="D33" i="10"/>
  <c r="B33" i="10"/>
  <c r="A33" i="10"/>
  <c r="AB32" i="10"/>
  <c r="M32" i="10"/>
  <c r="H32" i="10"/>
  <c r="E32" i="10"/>
  <c r="D32" i="10"/>
  <c r="B32" i="10"/>
  <c r="A32" i="10"/>
  <c r="AB31" i="10"/>
  <c r="M31" i="10"/>
  <c r="H31" i="10"/>
  <c r="E31" i="10"/>
  <c r="D31" i="10"/>
  <c r="B31" i="10"/>
  <c r="A31" i="10"/>
  <c r="AB30" i="10"/>
  <c r="M30" i="10"/>
  <c r="H30" i="10"/>
  <c r="E30" i="10"/>
  <c r="D30" i="10"/>
  <c r="B30" i="10"/>
  <c r="A30" i="10"/>
  <c r="AB29" i="10"/>
  <c r="M29" i="10"/>
  <c r="H29" i="10"/>
  <c r="E29" i="10"/>
  <c r="D29" i="10"/>
  <c r="B29" i="10"/>
  <c r="A29" i="10"/>
  <c r="AB28" i="10"/>
  <c r="M28" i="10"/>
  <c r="H28" i="10"/>
  <c r="E28" i="10"/>
  <c r="D28" i="10"/>
  <c r="B28" i="10"/>
  <c r="A28" i="10"/>
  <c r="AB27" i="10"/>
  <c r="M27" i="10"/>
  <c r="H27" i="10"/>
  <c r="E27" i="10"/>
  <c r="D27" i="10"/>
  <c r="B27" i="10"/>
  <c r="A27" i="10"/>
  <c r="AB26" i="10"/>
  <c r="M26" i="10"/>
  <c r="H26" i="10"/>
  <c r="E26" i="10"/>
  <c r="D26" i="10"/>
  <c r="B26" i="10"/>
  <c r="A26" i="10"/>
  <c r="AB25" i="10"/>
  <c r="M25" i="10"/>
  <c r="H25" i="10"/>
  <c r="E25" i="10"/>
  <c r="D25" i="10"/>
  <c r="B25" i="10"/>
  <c r="A25" i="10"/>
  <c r="AB24" i="10"/>
  <c r="M24" i="10"/>
  <c r="H24" i="10"/>
  <c r="E24" i="10"/>
  <c r="D24" i="10"/>
  <c r="B24" i="10"/>
  <c r="A24" i="10"/>
  <c r="AB23" i="10"/>
  <c r="M23" i="10"/>
  <c r="H23" i="10"/>
  <c r="E23" i="10"/>
  <c r="D23" i="10"/>
  <c r="B23" i="10"/>
  <c r="A23" i="10"/>
  <c r="AB22" i="10"/>
  <c r="M22" i="10"/>
  <c r="H22" i="10"/>
  <c r="E22" i="10"/>
  <c r="D22" i="10"/>
  <c r="B22" i="10"/>
  <c r="A22" i="10"/>
  <c r="AB21" i="10"/>
  <c r="M21" i="10"/>
  <c r="H21" i="10"/>
  <c r="E21" i="10"/>
  <c r="D21" i="10"/>
  <c r="B21" i="10"/>
  <c r="A21" i="10"/>
  <c r="AB20" i="10"/>
  <c r="M20" i="10"/>
  <c r="H20" i="10"/>
  <c r="E20" i="10"/>
  <c r="D20" i="10"/>
  <c r="B20" i="10"/>
  <c r="A20" i="10"/>
  <c r="AB19" i="10"/>
  <c r="M19" i="10"/>
  <c r="H19" i="10"/>
  <c r="E19" i="10"/>
  <c r="D19" i="10"/>
  <c r="B19" i="10"/>
  <c r="A19" i="10"/>
  <c r="AB18" i="10"/>
  <c r="M18" i="10"/>
  <c r="H18" i="10"/>
  <c r="E18" i="10"/>
  <c r="D18" i="10"/>
  <c r="B18" i="10"/>
  <c r="A18" i="10"/>
  <c r="AB17" i="10"/>
  <c r="M17" i="10"/>
  <c r="H17" i="10"/>
  <c r="E17" i="10"/>
  <c r="D17" i="10"/>
  <c r="B17" i="10"/>
  <c r="A17" i="10"/>
  <c r="AB16" i="10"/>
  <c r="M16" i="10"/>
  <c r="H16" i="10"/>
  <c r="E16" i="10"/>
  <c r="D16" i="10"/>
  <c r="B16" i="10"/>
  <c r="A16" i="10"/>
  <c r="AB15" i="10"/>
  <c r="M15" i="10"/>
  <c r="H15" i="10"/>
  <c r="E15" i="10"/>
  <c r="D15" i="10"/>
  <c r="B15" i="10"/>
  <c r="A15" i="10"/>
  <c r="AB14" i="10"/>
  <c r="M14" i="10"/>
  <c r="H14" i="10"/>
  <c r="E14" i="10"/>
  <c r="D14" i="10"/>
  <c r="B14" i="10"/>
  <c r="A14" i="10"/>
  <c r="AB13" i="10"/>
  <c r="M13" i="10"/>
  <c r="H13" i="10"/>
  <c r="E13" i="10"/>
  <c r="D13" i="10"/>
  <c r="B13" i="10"/>
  <c r="A13" i="10"/>
  <c r="AB12" i="10"/>
  <c r="M12" i="10"/>
  <c r="H12" i="10"/>
  <c r="E12" i="10"/>
  <c r="D12" i="10"/>
  <c r="B12" i="10"/>
  <c r="A12" i="10"/>
  <c r="AB11" i="10"/>
  <c r="M11" i="10"/>
  <c r="H11" i="10"/>
  <c r="E11" i="10"/>
  <c r="D11" i="10"/>
  <c r="B11" i="10"/>
  <c r="A11" i="10"/>
  <c r="AB10" i="10"/>
  <c r="M10" i="10"/>
  <c r="H10" i="10"/>
  <c r="E10" i="10"/>
  <c r="D10" i="10"/>
  <c r="B10" i="10"/>
  <c r="A10" i="10"/>
  <c r="AB9" i="10"/>
  <c r="M9" i="10"/>
  <c r="L9" i="10"/>
  <c r="K9" i="10"/>
  <c r="N9" i="10" s="1"/>
  <c r="O9" i="10" s="1"/>
  <c r="H9" i="10"/>
  <c r="I9" i="10" s="1"/>
  <c r="J9" i="10" s="1"/>
  <c r="G21" i="24" s="1"/>
  <c r="E9" i="10"/>
  <c r="D9" i="10"/>
  <c r="G9" i="10" s="1"/>
  <c r="E21" i="24" s="1"/>
  <c r="B9" i="10"/>
  <c r="A9" i="10"/>
  <c r="AB8" i="10"/>
  <c r="M8" i="10"/>
  <c r="H8" i="10"/>
  <c r="E8" i="10"/>
  <c r="D8" i="10"/>
  <c r="B8" i="10"/>
  <c r="A8" i="10"/>
  <c r="AB7" i="10"/>
  <c r="M7" i="10"/>
  <c r="H7" i="10"/>
  <c r="E7" i="10"/>
  <c r="D7" i="10"/>
  <c r="B7" i="10"/>
  <c r="A7" i="10"/>
  <c r="AB6" i="10"/>
  <c r="M6" i="10"/>
  <c r="H6" i="10"/>
  <c r="E6" i="10"/>
  <c r="D6" i="10"/>
  <c r="B6" i="10"/>
  <c r="A6" i="10"/>
  <c r="K59" i="9"/>
  <c r="J59" i="9"/>
  <c r="E59" i="9"/>
  <c r="M58" i="9"/>
  <c r="D58" i="9"/>
  <c r="C58" i="9"/>
  <c r="M57" i="9"/>
  <c r="D57" i="9"/>
  <c r="C57" i="9"/>
  <c r="M56" i="9"/>
  <c r="D56" i="9"/>
  <c r="C56" i="9"/>
  <c r="M55" i="9"/>
  <c r="D55" i="9"/>
  <c r="C55" i="9"/>
  <c r="M54" i="9"/>
  <c r="D54" i="9"/>
  <c r="C54" i="9"/>
  <c r="M53" i="9"/>
  <c r="D53" i="9"/>
  <c r="C53" i="9"/>
  <c r="M52" i="9"/>
  <c r="D52" i="9"/>
  <c r="C52" i="9"/>
  <c r="M51" i="9"/>
  <c r="D51" i="9"/>
  <c r="C51" i="9"/>
  <c r="M50" i="9"/>
  <c r="D50" i="9"/>
  <c r="C50" i="9"/>
  <c r="M49" i="9"/>
  <c r="D49" i="9"/>
  <c r="C49" i="9"/>
  <c r="M48" i="9"/>
  <c r="D48" i="9"/>
  <c r="C48" i="9"/>
  <c r="M47" i="9"/>
  <c r="D47" i="9"/>
  <c r="C47" i="9"/>
  <c r="M46" i="9"/>
  <c r="D46" i="9"/>
  <c r="C46" i="9"/>
  <c r="M45" i="9"/>
  <c r="D45" i="9"/>
  <c r="C45" i="9"/>
  <c r="M44" i="9"/>
  <c r="D44" i="9"/>
  <c r="C44" i="9"/>
  <c r="M43" i="9"/>
  <c r="D43" i="9"/>
  <c r="C43" i="9"/>
  <c r="M42" i="9"/>
  <c r="D42" i="9"/>
  <c r="C42" i="9"/>
  <c r="M41" i="9"/>
  <c r="D41" i="9"/>
  <c r="C41" i="9"/>
  <c r="M40" i="9"/>
  <c r="D40" i="9"/>
  <c r="C40" i="9"/>
  <c r="M39" i="9"/>
  <c r="D39" i="9"/>
  <c r="C39" i="9"/>
  <c r="M38" i="9"/>
  <c r="D38" i="9"/>
  <c r="C38" i="9"/>
  <c r="M37" i="9"/>
  <c r="D37" i="9"/>
  <c r="C37" i="9"/>
  <c r="M36" i="9"/>
  <c r="D36" i="9"/>
  <c r="C36" i="9"/>
  <c r="M35" i="9"/>
  <c r="D35" i="9"/>
  <c r="C35" i="9"/>
  <c r="M34" i="9"/>
  <c r="D34" i="9"/>
  <c r="C34" i="9"/>
  <c r="M33" i="9"/>
  <c r="D33" i="9"/>
  <c r="C33" i="9"/>
  <c r="M32" i="9"/>
  <c r="D32" i="9"/>
  <c r="C32" i="9"/>
  <c r="M31" i="9"/>
  <c r="D31" i="9"/>
  <c r="C31" i="9"/>
  <c r="M30" i="9"/>
  <c r="D30" i="9"/>
  <c r="C30" i="9"/>
  <c r="M29" i="9"/>
  <c r="D29" i="9"/>
  <c r="C29" i="9"/>
  <c r="M28" i="9"/>
  <c r="D28" i="9"/>
  <c r="C28" i="9"/>
  <c r="M27" i="9"/>
  <c r="D27" i="9"/>
  <c r="C27" i="9"/>
  <c r="M26" i="9"/>
  <c r="D26" i="9"/>
  <c r="C26" i="9"/>
  <c r="M25" i="9"/>
  <c r="D25" i="9"/>
  <c r="C25" i="9"/>
  <c r="M24" i="9"/>
  <c r="D24" i="9"/>
  <c r="C24" i="9"/>
  <c r="M23" i="9"/>
  <c r="D23" i="9"/>
  <c r="C23" i="9"/>
  <c r="M22" i="9"/>
  <c r="D22" i="9"/>
  <c r="C22" i="9"/>
  <c r="M21" i="9"/>
  <c r="D21" i="9"/>
  <c r="C21" i="9"/>
  <c r="M20" i="9"/>
  <c r="D20" i="9"/>
  <c r="C20" i="9"/>
  <c r="M19" i="9"/>
  <c r="D19" i="9"/>
  <c r="C19" i="9"/>
  <c r="M18" i="9"/>
  <c r="D18" i="9"/>
  <c r="C18" i="9"/>
  <c r="M17" i="9"/>
  <c r="D17" i="9"/>
  <c r="C17" i="9"/>
  <c r="M16" i="9"/>
  <c r="D16" i="9"/>
  <c r="C16" i="9"/>
  <c r="M15" i="9"/>
  <c r="D15" i="9"/>
  <c r="C15" i="9"/>
  <c r="M14" i="9"/>
  <c r="D14" i="9"/>
  <c r="C14" i="9"/>
  <c r="M13" i="9"/>
  <c r="D13" i="9"/>
  <c r="C13" i="9"/>
  <c r="M12" i="9"/>
  <c r="D12" i="9"/>
  <c r="C12" i="9"/>
  <c r="M11" i="9"/>
  <c r="D11" i="9"/>
  <c r="C11" i="9"/>
  <c r="M10" i="9"/>
  <c r="D10" i="9"/>
  <c r="C10" i="9"/>
  <c r="M9" i="9"/>
  <c r="D9" i="9"/>
  <c r="D59" i="9" s="1"/>
  <c r="C9" i="9"/>
  <c r="C3" i="9"/>
  <c r="G59" i="8"/>
  <c r="F59" i="8"/>
  <c r="E59" i="8"/>
  <c r="D59" i="8"/>
  <c r="N6" i="8"/>
  <c r="C3" i="8"/>
  <c r="G20" i="7"/>
  <c r="N12" i="7"/>
  <c r="N11" i="7"/>
  <c r="N10" i="7"/>
  <c r="J10" i="7"/>
  <c r="N9" i="7"/>
  <c r="C3" i="7"/>
  <c r="C43" i="6"/>
  <c r="C3" i="6"/>
  <c r="A1" i="6"/>
  <c r="F22" i="5"/>
  <c r="D13" i="5"/>
  <c r="D12" i="5"/>
  <c r="F11" i="5"/>
  <c r="F12" i="5" s="1"/>
  <c r="E11" i="5"/>
  <c r="E12" i="5" s="1"/>
  <c r="D11" i="5"/>
  <c r="C11" i="5"/>
  <c r="C12" i="5" s="1"/>
  <c r="D10" i="5"/>
  <c r="B40" i="4"/>
  <c r="B39" i="4"/>
  <c r="B38" i="4"/>
  <c r="B37" i="4"/>
  <c r="F25" i="4"/>
  <c r="F14" i="4"/>
  <c r="E14" i="4"/>
  <c r="C14" i="4"/>
  <c r="D13" i="4"/>
  <c r="D12" i="4"/>
  <c r="D11" i="4"/>
  <c r="D10" i="4"/>
  <c r="D14" i="4" s="1"/>
  <c r="D15" i="4" s="1"/>
  <c r="C43" i="3"/>
  <c r="D43" i="3" s="1"/>
  <c r="C42" i="3"/>
  <c r="D42" i="3" s="1"/>
  <c r="C41" i="3"/>
  <c r="D41" i="3" s="1"/>
  <c r="C40" i="3"/>
  <c r="D40" i="3" s="1"/>
  <c r="D44" i="3" s="1"/>
  <c r="C35" i="3"/>
  <c r="D35" i="3" s="1"/>
  <c r="C34" i="3"/>
  <c r="D34" i="3" s="1"/>
  <c r="C33" i="3"/>
  <c r="D33" i="3" s="1"/>
  <c r="C32" i="3"/>
  <c r="D32" i="3" s="1"/>
  <c r="D36" i="3" s="1"/>
  <c r="C26" i="2"/>
  <c r="C23" i="2"/>
  <c r="C21" i="2"/>
  <c r="C20" i="2"/>
  <c r="C19" i="2"/>
  <c r="C18" i="2"/>
  <c r="D57" i="2" s="1"/>
  <c r="C17" i="2"/>
  <c r="D56" i="2" s="1"/>
  <c r="C16" i="2"/>
  <c r="D55" i="2" s="1"/>
  <c r="I7" i="1"/>
  <c r="I6" i="1"/>
  <c r="F36" i="24" l="1"/>
  <c r="AD11" i="11"/>
  <c r="AC11" i="11"/>
  <c r="F21" i="10"/>
  <c r="E21" i="11"/>
  <c r="F25" i="10"/>
  <c r="E25" i="11"/>
  <c r="F24" i="10"/>
  <c r="E24" i="11"/>
  <c r="F23" i="10"/>
  <c r="E23" i="11"/>
  <c r="F22" i="10"/>
  <c r="E22" i="11"/>
  <c r="F20" i="10"/>
  <c r="E20" i="11"/>
  <c r="F19" i="10"/>
  <c r="E19" i="11"/>
  <c r="F18" i="10"/>
  <c r="E18" i="11"/>
  <c r="F17" i="10"/>
  <c r="E17" i="11"/>
  <c r="F16" i="10"/>
  <c r="E16" i="11"/>
  <c r="F15" i="10"/>
  <c r="E15" i="11"/>
  <c r="F14" i="10"/>
  <c r="E14" i="11"/>
  <c r="F13" i="10"/>
  <c r="E13" i="11"/>
  <c r="F12" i="10"/>
  <c r="E12" i="11"/>
  <c r="F11" i="10"/>
  <c r="E11" i="11"/>
  <c r="F10" i="10"/>
  <c r="E10" i="11"/>
  <c r="F9" i="10"/>
  <c r="E9" i="11"/>
  <c r="F8" i="10"/>
  <c r="E8" i="11"/>
  <c r="F7" i="10"/>
  <c r="E7" i="11"/>
  <c r="F6" i="10"/>
  <c r="E6" i="11"/>
  <c r="I35" i="20"/>
  <c r="I23" i="20"/>
  <c r="I18" i="20"/>
  <c r="I14" i="20"/>
  <c r="I9" i="20"/>
  <c r="I6" i="20"/>
  <c r="I59" i="20"/>
  <c r="I49" i="20"/>
  <c r="I46" i="20"/>
  <c r="I42" i="20"/>
  <c r="I38" i="20"/>
  <c r="I36" i="20"/>
  <c r="I33" i="20"/>
  <c r="I30" i="20"/>
  <c r="I27" i="20"/>
  <c r="I24" i="20"/>
  <c r="I20" i="20"/>
  <c r="I16" i="20"/>
  <c r="I12" i="20"/>
  <c r="I10" i="20"/>
  <c r="I5" i="20"/>
  <c r="I69" i="20"/>
  <c r="I66" i="20"/>
  <c r="I64" i="20"/>
  <c r="I62" i="20"/>
  <c r="I60" i="20"/>
  <c r="I57" i="20"/>
  <c r="I55" i="20"/>
  <c r="I53" i="20"/>
  <c r="I51" i="20"/>
  <c r="I48" i="20"/>
  <c r="I45" i="20"/>
  <c r="I43" i="20"/>
  <c r="I40" i="20"/>
  <c r="I34" i="20"/>
  <c r="I31" i="20"/>
  <c r="I28" i="20"/>
  <c r="I25" i="20"/>
  <c r="I21" i="20"/>
  <c r="I17" i="20"/>
  <c r="I15" i="20"/>
  <c r="I11" i="20"/>
  <c r="I8" i="20"/>
  <c r="I76" i="20"/>
  <c r="I75" i="20"/>
  <c r="I74" i="20"/>
  <c r="I73" i="20"/>
  <c r="I72" i="20"/>
  <c r="I71" i="20"/>
  <c r="I70" i="20"/>
  <c r="I68" i="20"/>
  <c r="I67" i="20"/>
  <c r="I65" i="20"/>
  <c r="I63" i="20"/>
  <c r="I61" i="20"/>
  <c r="I58" i="20"/>
  <c r="I56" i="20"/>
  <c r="I54" i="20"/>
  <c r="I52" i="20"/>
  <c r="I50" i="20"/>
  <c r="I47" i="20"/>
  <c r="I44" i="20"/>
  <c r="I41" i="20"/>
  <c r="I39" i="20"/>
  <c r="I37" i="20"/>
  <c r="I32" i="20"/>
  <c r="I29" i="20"/>
  <c r="I26" i="20"/>
  <c r="I22" i="20"/>
  <c r="I19" i="20"/>
  <c r="I13" i="20"/>
  <c r="I7" i="20"/>
  <c r="B36" i="23"/>
  <c r="C76" i="20" s="1"/>
  <c r="B35" i="23"/>
  <c r="C75" i="20" s="1"/>
  <c r="B34" i="23"/>
  <c r="C74" i="20" s="1"/>
  <c r="B33" i="23"/>
  <c r="C73" i="20" s="1"/>
  <c r="B32" i="23"/>
  <c r="C72" i="20" s="1"/>
  <c r="B31" i="23"/>
  <c r="C71" i="20" s="1"/>
  <c r="B30" i="23"/>
  <c r="C70" i="20" s="1"/>
  <c r="B29" i="23"/>
  <c r="C69" i="20" s="1"/>
  <c r="B24" i="23"/>
  <c r="C68" i="20" s="1"/>
  <c r="B23" i="23"/>
  <c r="C67" i="20" s="1"/>
  <c r="B22" i="23"/>
  <c r="C66" i="20" s="1"/>
  <c r="B21" i="23"/>
  <c r="C65" i="20" s="1"/>
  <c r="B20" i="23"/>
  <c r="C64" i="20" s="1"/>
  <c r="I35" i="23"/>
  <c r="I33" i="23"/>
  <c r="I32" i="23"/>
  <c r="I36" i="23"/>
  <c r="I34" i="23"/>
  <c r="I31" i="23"/>
  <c r="I3" i="25"/>
  <c r="W35" i="28"/>
  <c r="W34" i="28"/>
  <c r="W33" i="28"/>
  <c r="W32" i="28"/>
  <c r="W31" i="28"/>
  <c r="W30" i="28"/>
  <c r="W29" i="28"/>
  <c r="W28" i="28"/>
  <c r="W27" i="28"/>
  <c r="W26" i="28"/>
  <c r="W25" i="28"/>
  <c r="W24" i="28"/>
  <c r="W23" i="28"/>
  <c r="W22" i="28"/>
  <c r="W21" i="28"/>
  <c r="W20" i="28"/>
  <c r="W19" i="28"/>
  <c r="W18" i="28"/>
  <c r="W17" i="28"/>
  <c r="W16" i="28"/>
  <c r="W15" i="28"/>
  <c r="W14" i="28"/>
  <c r="W13" i="28"/>
  <c r="W12" i="28"/>
  <c r="W11" i="28"/>
  <c r="W10" i="28"/>
  <c r="W9" i="28"/>
  <c r="W8" i="28"/>
  <c r="W7" i="28"/>
  <c r="W5" i="28"/>
  <c r="W4" i="28"/>
  <c r="W3" i="28"/>
  <c r="W2" i="28"/>
  <c r="W6" i="28"/>
  <c r="C41" i="13"/>
  <c r="C41" i="14"/>
  <c r="AL7" i="14" s="1"/>
  <c r="E36" i="18"/>
  <c r="C40" i="16"/>
  <c r="D41" i="13"/>
  <c r="D41" i="14"/>
  <c r="AL6" i="14" s="1"/>
  <c r="D40" i="16"/>
  <c r="R35" i="28"/>
  <c r="S35" i="28" s="1"/>
  <c r="C40" i="13"/>
  <c r="C40" i="14"/>
  <c r="AK7" i="14" s="1"/>
  <c r="C39" i="16"/>
  <c r="E35" i="18"/>
  <c r="D40" i="13"/>
  <c r="R34" i="28"/>
  <c r="D39" i="16"/>
  <c r="D40" i="14"/>
  <c r="AK6" i="14" s="1"/>
  <c r="C38" i="16"/>
  <c r="C39" i="13"/>
  <c r="C39" i="14"/>
  <c r="AJ7" i="14" s="1"/>
  <c r="E34" i="18"/>
  <c r="R33" i="28"/>
  <c r="S33" i="28" s="1"/>
  <c r="D39" i="14"/>
  <c r="AJ6" i="14" s="1"/>
  <c r="D38" i="16"/>
  <c r="D39" i="13"/>
  <c r="C38" i="13"/>
  <c r="C38" i="14"/>
  <c r="AI7" i="14" s="1"/>
  <c r="C37" i="16"/>
  <c r="E33" i="18"/>
  <c r="R32" i="28"/>
  <c r="S32" i="28" s="1"/>
  <c r="D37" i="16"/>
  <c r="D38" i="13"/>
  <c r="D38" i="14"/>
  <c r="AI6" i="14" s="1"/>
  <c r="C37" i="13"/>
  <c r="C37" i="14"/>
  <c r="AH7" i="14" s="1"/>
  <c r="C36" i="16"/>
  <c r="E32" i="18"/>
  <c r="R31" i="28"/>
  <c r="S31" i="28" s="1"/>
  <c r="D37" i="13"/>
  <c r="D37" i="14"/>
  <c r="AH6" i="14" s="1"/>
  <c r="D36" i="16"/>
  <c r="C36" i="13"/>
  <c r="C36" i="14"/>
  <c r="AG7" i="14" s="1"/>
  <c r="C35" i="16"/>
  <c r="E31" i="18"/>
  <c r="D36" i="13"/>
  <c r="D35" i="16"/>
  <c r="R30" i="28"/>
  <c r="S30" i="28" s="1"/>
  <c r="D36" i="14"/>
  <c r="AG6" i="14" s="1"/>
  <c r="C35" i="13"/>
  <c r="C35" i="14"/>
  <c r="AF7" i="14" s="1"/>
  <c r="E30" i="18"/>
  <c r="C34" i="16"/>
  <c r="R29" i="28"/>
  <c r="S29" i="28" s="1"/>
  <c r="D35" i="13"/>
  <c r="D34" i="16"/>
  <c r="D35" i="14"/>
  <c r="AF6" i="14" s="1"/>
  <c r="C34" i="13"/>
  <c r="C34" i="14"/>
  <c r="AE7" i="14" s="1"/>
  <c r="C33" i="16"/>
  <c r="E29" i="18"/>
  <c r="R28" i="28"/>
  <c r="S28" i="28" s="1"/>
  <c r="D34" i="14"/>
  <c r="AE6" i="14" s="1"/>
  <c r="D34" i="13"/>
  <c r="D33" i="16"/>
  <c r="C33" i="13"/>
  <c r="C33" i="14"/>
  <c r="AD7" i="14" s="1"/>
  <c r="C32" i="16"/>
  <c r="E28" i="18"/>
  <c r="R27" i="28"/>
  <c r="S27" i="28" s="1"/>
  <c r="D33" i="13"/>
  <c r="D32" i="16"/>
  <c r="D33" i="14"/>
  <c r="AD6" i="14" s="1"/>
  <c r="C32" i="13"/>
  <c r="C32" i="14"/>
  <c r="AC7" i="14" s="1"/>
  <c r="C31" i="16"/>
  <c r="E27" i="18"/>
  <c r="D31" i="16"/>
  <c r="D32" i="13"/>
  <c r="R26" i="28"/>
  <c r="S26" i="28" s="1"/>
  <c r="D32" i="14"/>
  <c r="AC6" i="14" s="1"/>
  <c r="C30" i="16"/>
  <c r="C31" i="13"/>
  <c r="C31" i="14"/>
  <c r="AB7" i="14" s="1"/>
  <c r="E26" i="18"/>
  <c r="D31" i="13"/>
  <c r="R25" i="28"/>
  <c r="S25" i="28" s="1"/>
  <c r="D31" i="14"/>
  <c r="AB6" i="14" s="1"/>
  <c r="D30" i="16"/>
  <c r="C30" i="13"/>
  <c r="C30" i="14"/>
  <c r="AA7" i="14" s="1"/>
  <c r="C29" i="16"/>
  <c r="E25" i="18"/>
  <c r="R24" i="28"/>
  <c r="S24" i="28" s="1"/>
  <c r="D30" i="13"/>
  <c r="D30" i="14"/>
  <c r="AA6" i="14" s="1"/>
  <c r="D29" i="16"/>
  <c r="C29" i="13"/>
  <c r="C29" i="14"/>
  <c r="Z7" i="14" s="1"/>
  <c r="C28" i="16"/>
  <c r="E24" i="18"/>
  <c r="D28" i="16"/>
  <c r="D29" i="13"/>
  <c r="R23" i="28"/>
  <c r="S23" i="28" s="1"/>
  <c r="D29" i="14"/>
  <c r="Z6" i="14" s="1"/>
  <c r="C28" i="13"/>
  <c r="C28" i="14"/>
  <c r="Y7" i="14" s="1"/>
  <c r="C27" i="16"/>
  <c r="E23" i="18"/>
  <c r="D27" i="16"/>
  <c r="D28" i="14"/>
  <c r="Y6" i="14" s="1"/>
  <c r="D28" i="13"/>
  <c r="R22" i="28"/>
  <c r="S22" i="28" s="1"/>
  <c r="C27" i="13"/>
  <c r="C27" i="14"/>
  <c r="X7" i="14" s="1"/>
  <c r="C26" i="16"/>
  <c r="E22" i="18"/>
  <c r="R21" i="28"/>
  <c r="S21" i="28" s="1"/>
  <c r="D27" i="14"/>
  <c r="X6" i="14" s="1"/>
  <c r="D27" i="13"/>
  <c r="D26" i="16"/>
  <c r="C26" i="13"/>
  <c r="C26" i="14"/>
  <c r="W7" i="14" s="1"/>
  <c r="C25" i="16"/>
  <c r="E21" i="18"/>
  <c r="D26" i="13"/>
  <c r="D26" i="14"/>
  <c r="W6" i="14" s="1"/>
  <c r="D25" i="16"/>
  <c r="R20" i="28"/>
  <c r="S20" i="28" s="1"/>
  <c r="C25" i="13"/>
  <c r="C25" i="14"/>
  <c r="V7" i="14" s="1"/>
  <c r="C24" i="16"/>
  <c r="E20" i="18"/>
  <c r="R19" i="28"/>
  <c r="S19" i="28" s="1"/>
  <c r="D24" i="16"/>
  <c r="D25" i="13"/>
  <c r="D25" i="14"/>
  <c r="V6" i="14" s="1"/>
  <c r="C24" i="13"/>
  <c r="C24" i="14"/>
  <c r="U7" i="14" s="1"/>
  <c r="C23" i="16"/>
  <c r="E19" i="18"/>
  <c r="D24" i="14"/>
  <c r="U6" i="14" s="1"/>
  <c r="D23" i="16"/>
  <c r="R18" i="28"/>
  <c r="S18" i="28" s="1"/>
  <c r="D24" i="13"/>
  <c r="C23" i="13"/>
  <c r="C23" i="14"/>
  <c r="T7" i="14" s="1"/>
  <c r="C22" i="16"/>
  <c r="E18" i="18"/>
  <c r="D22" i="16"/>
  <c r="D23" i="13"/>
  <c r="R17" i="28"/>
  <c r="S17" i="28" s="1"/>
  <c r="D23" i="14"/>
  <c r="T6" i="14" s="1"/>
  <c r="C22" i="13"/>
  <c r="C22" i="14"/>
  <c r="S7" i="14" s="1"/>
  <c r="C21" i="16"/>
  <c r="E17" i="18"/>
  <c r="D21" i="16"/>
  <c r="D22" i="13"/>
  <c r="R16" i="28"/>
  <c r="S16" i="28" s="1"/>
  <c r="D22" i="14"/>
  <c r="S6" i="14" s="1"/>
  <c r="C21" i="13"/>
  <c r="C21" i="14"/>
  <c r="R7" i="14" s="1"/>
  <c r="C20" i="16"/>
  <c r="E16" i="18"/>
  <c r="D20" i="16"/>
  <c r="D21" i="13"/>
  <c r="D21" i="14"/>
  <c r="R6" i="14" s="1"/>
  <c r="R15" i="28"/>
  <c r="S15" i="28" s="1"/>
  <c r="C20" i="13"/>
  <c r="C20" i="14"/>
  <c r="Q7" i="14" s="1"/>
  <c r="C19" i="16"/>
  <c r="E15" i="18"/>
  <c r="R14" i="28"/>
  <c r="S14" i="28" s="1"/>
  <c r="D20" i="13"/>
  <c r="D19" i="16"/>
  <c r="D20" i="14"/>
  <c r="Q6" i="14" s="1"/>
  <c r="C19" i="13"/>
  <c r="C19" i="14"/>
  <c r="P7" i="14" s="1"/>
  <c r="C18" i="16"/>
  <c r="E14" i="18"/>
  <c r="D18" i="16"/>
  <c r="D19" i="14"/>
  <c r="P6" i="14" s="1"/>
  <c r="R13" i="28"/>
  <c r="S13" i="28" s="1"/>
  <c r="D19" i="13"/>
  <c r="C18" i="13"/>
  <c r="C18" i="14"/>
  <c r="O7" i="14" s="1"/>
  <c r="C17" i="16"/>
  <c r="E13" i="18"/>
  <c r="D17" i="16"/>
  <c r="R12" i="28"/>
  <c r="S12" i="28" s="1"/>
  <c r="D18" i="14"/>
  <c r="O6" i="14" s="1"/>
  <c r="D18" i="13"/>
  <c r="C17" i="13"/>
  <c r="C17" i="14"/>
  <c r="N7" i="14" s="1"/>
  <c r="C16" i="16"/>
  <c r="E12" i="18"/>
  <c r="D17" i="13"/>
  <c r="D16" i="16"/>
  <c r="D17" i="14"/>
  <c r="N6" i="14" s="1"/>
  <c r="R11" i="28"/>
  <c r="S11" i="28" s="1"/>
  <c r="C16" i="13"/>
  <c r="C16" i="14"/>
  <c r="M7" i="14" s="1"/>
  <c r="C15" i="16"/>
  <c r="E11" i="18"/>
  <c r="D16" i="13"/>
  <c r="R10" i="28"/>
  <c r="S10" i="28" s="1"/>
  <c r="D16" i="14"/>
  <c r="M6" i="14" s="1"/>
  <c r="D15" i="16"/>
  <c r="C15" i="13"/>
  <c r="C15" i="14"/>
  <c r="L7" i="14" s="1"/>
  <c r="C14" i="16"/>
  <c r="E10" i="18"/>
  <c r="D15" i="13"/>
  <c r="D14" i="16"/>
  <c r="R9" i="28"/>
  <c r="S9" i="28" s="1"/>
  <c r="D15" i="14"/>
  <c r="L6" i="14" s="1"/>
  <c r="C14" i="13"/>
  <c r="C14" i="14"/>
  <c r="K7" i="14" s="1"/>
  <c r="C13" i="16"/>
  <c r="E9" i="18"/>
  <c r="R8" i="28"/>
  <c r="S8" i="28" s="1"/>
  <c r="D13" i="16"/>
  <c r="D14" i="14"/>
  <c r="K6" i="14" s="1"/>
  <c r="D14" i="13"/>
  <c r="C13" i="13"/>
  <c r="C13" i="14"/>
  <c r="J7" i="14" s="1"/>
  <c r="C12" i="16"/>
  <c r="E8" i="18"/>
  <c r="R7" i="28"/>
  <c r="S7" i="28" s="1"/>
  <c r="D13" i="14"/>
  <c r="J6" i="14" s="1"/>
  <c r="D12" i="16"/>
  <c r="D13" i="13"/>
  <c r="C12" i="13"/>
  <c r="C12" i="14"/>
  <c r="I7" i="14" s="1"/>
  <c r="C11" i="16"/>
  <c r="E7" i="18"/>
  <c r="R6" i="28"/>
  <c r="S6" i="28" s="1"/>
  <c r="D12" i="14"/>
  <c r="I6" i="14" s="1"/>
  <c r="D12" i="13"/>
  <c r="D11" i="16"/>
  <c r="C11" i="13"/>
  <c r="C11" i="14"/>
  <c r="H7" i="14" s="1"/>
  <c r="C10" i="16"/>
  <c r="E6" i="18"/>
  <c r="D11" i="14"/>
  <c r="H6" i="14" s="1"/>
  <c r="R5" i="28"/>
  <c r="S5" i="28" s="1"/>
  <c r="D11" i="13"/>
  <c r="D10" i="16"/>
  <c r="C10" i="13"/>
  <c r="C10" i="14"/>
  <c r="G7" i="14" s="1"/>
  <c r="C9" i="16"/>
  <c r="E5" i="18"/>
  <c r="D10" i="14"/>
  <c r="G6" i="14" s="1"/>
  <c r="D10" i="13"/>
  <c r="R4" i="28"/>
  <c r="S4" i="28" s="1"/>
  <c r="D9" i="16"/>
  <c r="C9" i="13"/>
  <c r="C9" i="14"/>
  <c r="F7" i="14" s="1"/>
  <c r="C8" i="16"/>
  <c r="E4" i="18"/>
  <c r="D9" i="13"/>
  <c r="D9" i="14"/>
  <c r="F6" i="14" s="1"/>
  <c r="D8" i="16"/>
  <c r="R3" i="28"/>
  <c r="S3" i="28" s="1"/>
  <c r="C8" i="13"/>
  <c r="C8" i="14"/>
  <c r="C7" i="16"/>
  <c r="E3" i="18"/>
  <c r="D8" i="14"/>
  <c r="D8" i="13"/>
  <c r="R2" i="28"/>
  <c r="S2" i="28" s="1"/>
  <c r="D7" i="16"/>
  <c r="Z3" i="13"/>
  <c r="J3" i="9"/>
  <c r="H21" i="7"/>
  <c r="G21" i="7"/>
  <c r="C6" i="31"/>
  <c r="H3" i="8"/>
  <c r="K21" i="7"/>
  <c r="J21" i="7"/>
  <c r="I21" i="7"/>
  <c r="H3" i="27"/>
  <c r="H2" i="27"/>
  <c r="H6" i="27"/>
  <c r="H7" i="27"/>
  <c r="H8" i="27"/>
  <c r="H9" i="27"/>
  <c r="H10" i="27"/>
  <c r="H11" i="27"/>
  <c r="H12" i="27"/>
  <c r="H13" i="27"/>
  <c r="H14" i="27"/>
  <c r="H15" i="27"/>
  <c r="H16" i="27"/>
  <c r="H5" i="27"/>
  <c r="H17" i="27"/>
  <c r="H18" i="27"/>
  <c r="H19" i="27"/>
  <c r="H20" i="27"/>
  <c r="H21" i="27"/>
  <c r="H4" i="27"/>
  <c r="K20" i="7"/>
  <c r="W7" i="18"/>
  <c r="J20" i="7"/>
  <c r="W6" i="18"/>
  <c r="I20" i="7"/>
  <c r="W5" i="18"/>
  <c r="H20" i="7"/>
  <c r="W4" i="18"/>
  <c r="G3" i="26"/>
  <c r="I21" i="25"/>
  <c r="H15" i="25"/>
  <c r="I15" i="25"/>
  <c r="C108" i="20"/>
  <c r="E108" i="20" s="1"/>
  <c r="D108" i="20"/>
  <c r="D107" i="20"/>
  <c r="C107" i="20"/>
  <c r="E107" i="20" s="1"/>
  <c r="D106" i="20"/>
  <c r="C106" i="20"/>
  <c r="E106" i="20" s="1"/>
  <c r="D105" i="20"/>
  <c r="C105" i="20"/>
  <c r="E105" i="20" s="1"/>
  <c r="C104" i="20"/>
  <c r="E104" i="20" s="1"/>
  <c r="D104" i="20"/>
  <c r="C103" i="20"/>
  <c r="E103" i="20" s="1"/>
  <c r="D103" i="20"/>
  <c r="D102" i="20"/>
  <c r="C102" i="20"/>
  <c r="E102" i="20" s="1"/>
  <c r="D101" i="20"/>
  <c r="C101" i="20"/>
  <c r="E101" i="20" s="1"/>
  <c r="D100" i="20"/>
  <c r="C100" i="20"/>
  <c r="E100" i="20" s="1"/>
  <c r="D99" i="20"/>
  <c r="C99" i="20"/>
  <c r="E99" i="20" s="1"/>
  <c r="D98" i="20"/>
  <c r="C98" i="20"/>
  <c r="E98" i="20" s="1"/>
  <c r="D97" i="20"/>
  <c r="C97" i="20"/>
  <c r="E97" i="20" s="1"/>
  <c r="C96" i="20"/>
  <c r="E96" i="20" s="1"/>
  <c r="D96" i="20"/>
  <c r="C95" i="20"/>
  <c r="E95" i="20" s="1"/>
  <c r="D95" i="20"/>
  <c r="D94" i="20"/>
  <c r="C94" i="20"/>
  <c r="E94" i="20" s="1"/>
  <c r="D93" i="20"/>
  <c r="C93" i="20"/>
  <c r="E93" i="20" s="1"/>
  <c r="D92" i="20"/>
  <c r="C92" i="20"/>
  <c r="E92" i="20" s="1"/>
  <c r="D91" i="20"/>
  <c r="C91" i="20"/>
  <c r="E91" i="20" s="1"/>
  <c r="D90" i="20"/>
  <c r="C90" i="20"/>
  <c r="E90" i="20" s="1"/>
  <c r="C89" i="20"/>
  <c r="E89" i="20" s="1"/>
  <c r="D89" i="20"/>
  <c r="C88" i="20"/>
  <c r="E88" i="20" s="1"/>
  <c r="D88" i="20"/>
  <c r="K40" i="18"/>
  <c r="M40" i="18"/>
  <c r="K39" i="18"/>
  <c r="M39" i="18"/>
  <c r="K38" i="18"/>
  <c r="M38" i="18"/>
  <c r="K37" i="18"/>
  <c r="M37" i="18"/>
  <c r="K36" i="18"/>
  <c r="M36" i="18"/>
  <c r="F35" i="28"/>
  <c r="K35" i="18"/>
  <c r="M35" i="18"/>
  <c r="F34" i="28"/>
  <c r="K34" i="18"/>
  <c r="M34" i="18"/>
  <c r="F33" i="28"/>
  <c r="K33" i="18"/>
  <c r="M33" i="18"/>
  <c r="F32" i="28"/>
  <c r="M32" i="18"/>
  <c r="F31" i="28"/>
  <c r="K32" i="18"/>
  <c r="K31" i="18"/>
  <c r="M31" i="18"/>
  <c r="F30" i="28"/>
  <c r="M30" i="18"/>
  <c r="F29" i="28"/>
  <c r="K30" i="18"/>
  <c r="K29" i="18"/>
  <c r="M29" i="18"/>
  <c r="F28" i="28"/>
  <c r="F27" i="28"/>
  <c r="M28" i="18"/>
  <c r="K28" i="18"/>
  <c r="K27" i="18"/>
  <c r="M27" i="18"/>
  <c r="F26" i="28"/>
  <c r="F25" i="28"/>
  <c r="K26" i="18"/>
  <c r="M26" i="18"/>
  <c r="M25" i="18"/>
  <c r="F24" i="28"/>
  <c r="K25" i="18"/>
  <c r="K24" i="18"/>
  <c r="F23" i="28"/>
  <c r="M24" i="18"/>
  <c r="K23" i="18"/>
  <c r="M23" i="18"/>
  <c r="F22" i="28"/>
  <c r="M22" i="18"/>
  <c r="F21" i="28"/>
  <c r="K22" i="18"/>
  <c r="M21" i="18"/>
  <c r="F20" i="28"/>
  <c r="K21" i="18"/>
  <c r="M20" i="18"/>
  <c r="F19" i="28"/>
  <c r="K20" i="18"/>
  <c r="K19" i="18"/>
  <c r="M19" i="18"/>
  <c r="F18" i="28"/>
  <c r="K18" i="18"/>
  <c r="M18" i="18"/>
  <c r="F17" i="28"/>
  <c r="K17" i="18"/>
  <c r="M17" i="18"/>
  <c r="F16" i="28"/>
  <c r="M16" i="18"/>
  <c r="F15" i="28"/>
  <c r="K16" i="18"/>
  <c r="K15" i="18"/>
  <c r="M15" i="18"/>
  <c r="F14" i="28"/>
  <c r="K14" i="18"/>
  <c r="M14" i="18"/>
  <c r="F13" i="28"/>
  <c r="K13" i="18"/>
  <c r="M13" i="18"/>
  <c r="F12" i="28"/>
  <c r="K12" i="18"/>
  <c r="M12" i="18"/>
  <c r="F11" i="28"/>
  <c r="K11" i="18"/>
  <c r="M11" i="18"/>
  <c r="F10" i="28"/>
  <c r="K10" i="18"/>
  <c r="M10" i="18"/>
  <c r="F9" i="28"/>
  <c r="K9" i="18"/>
  <c r="M9" i="18"/>
  <c r="F8" i="28"/>
  <c r="K8" i="18"/>
  <c r="M8" i="18"/>
  <c r="F7" i="28"/>
  <c r="K7" i="18"/>
  <c r="M7" i="18"/>
  <c r="F6" i="28"/>
  <c r="K6" i="18"/>
  <c r="M6" i="18"/>
  <c r="F5" i="28"/>
  <c r="K5" i="18"/>
  <c r="M5" i="18"/>
  <c r="F4" i="28"/>
  <c r="K4" i="18"/>
  <c r="M4" i="18"/>
  <c r="F3" i="28"/>
  <c r="F2" i="28"/>
  <c r="K3" i="18"/>
  <c r="M3" i="18"/>
  <c r="D21" i="15"/>
  <c r="B11" i="19"/>
  <c r="C13" i="24"/>
  <c r="B13" i="24"/>
  <c r="D18" i="15"/>
  <c r="R6" i="10"/>
  <c r="R7" i="10"/>
  <c r="R8" i="10"/>
  <c r="R9" i="10"/>
  <c r="R10" i="10"/>
  <c r="R11" i="10"/>
  <c r="R12" i="10"/>
  <c r="R13" i="10"/>
  <c r="R14" i="10"/>
  <c r="R15" i="10"/>
  <c r="R16" i="10"/>
  <c r="R17" i="10"/>
  <c r="R18" i="10"/>
  <c r="R19" i="10"/>
  <c r="R20" i="10"/>
  <c r="R21" i="10"/>
  <c r="R22" i="10"/>
  <c r="R23" i="10"/>
  <c r="R24" i="10"/>
  <c r="R25" i="10"/>
  <c r="R26" i="10"/>
  <c r="R27" i="10"/>
  <c r="R31" i="10"/>
  <c r="R32" i="10"/>
  <c r="R33" i="10"/>
  <c r="R34" i="10"/>
  <c r="R35" i="10"/>
  <c r="R28" i="10"/>
  <c r="R29" i="10"/>
  <c r="R30" i="10"/>
  <c r="R36" i="10"/>
  <c r="O36" i="12"/>
  <c r="L36" i="12"/>
  <c r="L35" i="12"/>
  <c r="O35" i="12"/>
  <c r="O34" i="12"/>
  <c r="L34" i="12"/>
  <c r="O33" i="12"/>
  <c r="L33" i="12"/>
  <c r="O32" i="12"/>
  <c r="L32" i="12"/>
  <c r="O31" i="12"/>
  <c r="L31" i="12"/>
  <c r="L30" i="12"/>
  <c r="O30" i="12"/>
  <c r="L29" i="12"/>
  <c r="O29" i="12"/>
  <c r="L28" i="12"/>
  <c r="O28" i="12"/>
  <c r="L27" i="12"/>
  <c r="O27" i="12"/>
  <c r="L26" i="12"/>
  <c r="O26" i="12"/>
  <c r="O25" i="12"/>
  <c r="L25" i="12"/>
  <c r="L24" i="12"/>
  <c r="O24" i="12"/>
  <c r="O23" i="12"/>
  <c r="L23" i="12"/>
  <c r="L22" i="12"/>
  <c r="O22" i="12"/>
  <c r="L21" i="12"/>
  <c r="O21" i="12"/>
  <c r="L20" i="12"/>
  <c r="O20" i="12"/>
  <c r="O19" i="12"/>
  <c r="L19" i="12"/>
  <c r="L18" i="12"/>
  <c r="O18" i="12"/>
  <c r="O17" i="12"/>
  <c r="L17" i="12"/>
  <c r="O16" i="12"/>
  <c r="L16" i="12"/>
  <c r="O15" i="12"/>
  <c r="L15" i="12"/>
  <c r="L14" i="12"/>
  <c r="O14" i="12"/>
  <c r="O13" i="12"/>
  <c r="L13" i="12"/>
  <c r="L12" i="12"/>
  <c r="O12" i="12"/>
  <c r="O11" i="12"/>
  <c r="L11" i="12"/>
  <c r="O10" i="12"/>
  <c r="L10" i="12"/>
  <c r="L9" i="12"/>
  <c r="O9" i="12"/>
  <c r="AD36" i="11"/>
  <c r="AC36" i="11"/>
  <c r="AB36" i="11"/>
  <c r="AA36" i="11"/>
  <c r="T36" i="11"/>
  <c r="U36" i="11" s="1"/>
  <c r="R36" i="11"/>
  <c r="S36" i="11" s="1"/>
  <c r="AD35" i="11"/>
  <c r="AC35" i="11"/>
  <c r="AB35" i="11"/>
  <c r="AA35" i="11"/>
  <c r="T35" i="11"/>
  <c r="U35" i="11" s="1"/>
  <c r="R35" i="11"/>
  <c r="S35" i="11" s="1"/>
  <c r="AD34" i="11"/>
  <c r="AC34" i="11"/>
  <c r="AB34" i="11"/>
  <c r="AA34" i="11"/>
  <c r="T34" i="11"/>
  <c r="U34" i="11" s="1"/>
  <c r="R34" i="11"/>
  <c r="S34" i="11" s="1"/>
  <c r="R33" i="11"/>
  <c r="S33" i="11" s="1"/>
  <c r="AD33" i="11"/>
  <c r="AC33" i="11"/>
  <c r="AB33" i="11"/>
  <c r="AA33" i="11"/>
  <c r="T33" i="11"/>
  <c r="U33" i="11" s="1"/>
  <c r="T32" i="11"/>
  <c r="U32" i="11" s="1"/>
  <c r="AB32" i="11"/>
  <c r="AC32" i="11"/>
  <c r="AD32" i="11"/>
  <c r="AA32" i="11"/>
  <c r="R32" i="11"/>
  <c r="S32" i="11" s="1"/>
  <c r="T31" i="11"/>
  <c r="U31" i="11" s="1"/>
  <c r="AA31" i="11"/>
  <c r="AC31" i="11"/>
  <c r="AB31" i="11"/>
  <c r="AD31" i="11"/>
  <c r="R31" i="11"/>
  <c r="S31" i="11" s="1"/>
  <c r="AD30" i="11"/>
  <c r="AC30" i="11"/>
  <c r="AB30" i="11"/>
  <c r="R30" i="11"/>
  <c r="S30" i="11" s="1"/>
  <c r="AA30" i="11"/>
  <c r="T30" i="11"/>
  <c r="U30" i="11" s="1"/>
  <c r="AD29" i="11"/>
  <c r="R29" i="11"/>
  <c r="S29" i="11" s="1"/>
  <c r="AA29" i="11"/>
  <c r="AC29" i="11"/>
  <c r="AB29" i="11"/>
  <c r="T29" i="11"/>
  <c r="U29" i="11" s="1"/>
  <c r="AD28" i="11"/>
  <c r="T28" i="11"/>
  <c r="U28" i="11" s="1"/>
  <c r="R28" i="11"/>
  <c r="S28" i="11" s="1"/>
  <c r="AC28" i="11"/>
  <c r="AA28" i="11"/>
  <c r="AB28" i="11"/>
  <c r="R27" i="11"/>
  <c r="S27" i="11" s="1"/>
  <c r="AD27" i="11"/>
  <c r="AC27" i="11"/>
  <c r="AB27" i="11"/>
  <c r="AA27" i="11"/>
  <c r="T27" i="11"/>
  <c r="U27" i="11" s="1"/>
  <c r="T26" i="11"/>
  <c r="U26" i="11" s="1"/>
  <c r="AA26" i="11"/>
  <c r="AB26" i="11"/>
  <c r="AD26" i="11"/>
  <c r="AC26" i="11"/>
  <c r="R26" i="11"/>
  <c r="S26" i="11" s="1"/>
  <c r="T25" i="11"/>
  <c r="U25" i="11" s="1"/>
  <c r="R25" i="11"/>
  <c r="S25" i="11" s="1"/>
  <c r="AC25" i="11"/>
  <c r="AD25" i="11"/>
  <c r="AB25" i="11"/>
  <c r="AA25" i="11"/>
  <c r="AD24" i="11"/>
  <c r="AC24" i="11"/>
  <c r="AB24" i="11"/>
  <c r="AA24" i="11"/>
  <c r="T24" i="11"/>
  <c r="U24" i="11" s="1"/>
  <c r="R24" i="11"/>
  <c r="S24" i="11" s="1"/>
  <c r="T23" i="11"/>
  <c r="U23" i="11" s="1"/>
  <c r="AA23" i="11"/>
  <c r="AB23" i="11"/>
  <c r="AC23" i="11"/>
  <c r="AD23" i="11"/>
  <c r="R23" i="11"/>
  <c r="S23" i="11" s="1"/>
  <c r="AA22" i="11"/>
  <c r="T22" i="11"/>
  <c r="U22" i="11" s="1"/>
  <c r="R22" i="11"/>
  <c r="S22" i="11" s="1"/>
  <c r="AD22" i="11"/>
  <c r="AC22" i="11"/>
  <c r="AB22" i="11"/>
  <c r="AD21" i="11"/>
  <c r="AC21" i="11"/>
  <c r="R21" i="11"/>
  <c r="S21" i="11" s="1"/>
  <c r="T21" i="11"/>
  <c r="U21" i="11" s="1"/>
  <c r="AA21" i="11"/>
  <c r="AB21" i="11"/>
  <c r="AB20" i="11"/>
  <c r="AC20" i="11"/>
  <c r="AD20" i="11"/>
  <c r="T20" i="11"/>
  <c r="U20" i="11" s="1"/>
  <c r="R20" i="11"/>
  <c r="S20" i="11" s="1"/>
  <c r="AA20" i="11"/>
  <c r="AC19" i="11"/>
  <c r="AB19" i="11"/>
  <c r="AA19" i="11"/>
  <c r="T19" i="11"/>
  <c r="U19" i="11" s="1"/>
  <c r="R19" i="11"/>
  <c r="S19" i="11" s="1"/>
  <c r="AD19" i="11"/>
  <c r="AC18" i="11"/>
  <c r="AB18" i="11"/>
  <c r="T18" i="11"/>
  <c r="U18" i="11" s="1"/>
  <c r="AA18" i="11"/>
  <c r="R18" i="11"/>
  <c r="S18" i="11" s="1"/>
  <c r="AD18" i="11"/>
  <c r="R17" i="11"/>
  <c r="S17" i="11" s="1"/>
  <c r="T17" i="11"/>
  <c r="U17" i="11" s="1"/>
  <c r="AA17" i="11"/>
  <c r="AB17" i="11"/>
  <c r="AC17" i="11"/>
  <c r="AD17" i="11"/>
  <c r="T16" i="11"/>
  <c r="U16" i="11" s="1"/>
  <c r="AA16" i="11"/>
  <c r="AB16" i="11"/>
  <c r="AC16" i="11"/>
  <c r="AD16" i="11"/>
  <c r="R16" i="11"/>
  <c r="S16" i="11" s="1"/>
  <c r="AD15" i="11"/>
  <c r="AC15" i="11"/>
  <c r="AB15" i="11"/>
  <c r="AA15" i="11"/>
  <c r="T15" i="11"/>
  <c r="R15" i="11"/>
  <c r="S15" i="11" s="1"/>
  <c r="AC14" i="11"/>
  <c r="AB14" i="11"/>
  <c r="AA14" i="11"/>
  <c r="T14" i="11"/>
  <c r="R14" i="11"/>
  <c r="S14" i="11" s="1"/>
  <c r="AD14" i="11"/>
  <c r="AC13" i="11"/>
  <c r="AB13" i="11"/>
  <c r="AA13" i="11"/>
  <c r="T13" i="11"/>
  <c r="AD13" i="11"/>
  <c r="R13" i="11"/>
  <c r="S13" i="11" s="1"/>
  <c r="AB12" i="11"/>
  <c r="AD12" i="11"/>
  <c r="AC12" i="11"/>
  <c r="AA12" i="11"/>
  <c r="T12" i="11"/>
  <c r="R12" i="11"/>
  <c r="S12" i="11" s="1"/>
  <c r="AB11" i="11"/>
  <c r="AA11" i="11"/>
  <c r="T11" i="11"/>
  <c r="R11" i="11"/>
  <c r="S11" i="11" s="1"/>
  <c r="R10" i="11"/>
  <c r="S10" i="11" s="1"/>
  <c r="AD10" i="11"/>
  <c r="AC10" i="11"/>
  <c r="AB10" i="11"/>
  <c r="AA10" i="11"/>
  <c r="T10" i="11"/>
  <c r="AD9" i="11"/>
  <c r="AC9" i="11"/>
  <c r="AB9" i="11"/>
  <c r="AA9" i="11"/>
  <c r="T9" i="11"/>
  <c r="R9" i="11"/>
  <c r="S9" i="11" s="1"/>
  <c r="I36" i="10"/>
  <c r="J36" i="10" s="1"/>
  <c r="K36" i="10"/>
  <c r="N36" i="10" s="1"/>
  <c r="O36" i="10" s="1"/>
  <c r="F36" i="10"/>
  <c r="E36" i="11"/>
  <c r="D36" i="11"/>
  <c r="G36" i="11" s="1"/>
  <c r="L36" i="10"/>
  <c r="G36" i="10"/>
  <c r="I35" i="10"/>
  <c r="J35" i="10" s="1"/>
  <c r="K35" i="10"/>
  <c r="N35" i="10" s="1"/>
  <c r="O35" i="10" s="1"/>
  <c r="E35" i="11"/>
  <c r="F35" i="10"/>
  <c r="D35" i="11"/>
  <c r="G35" i="11" s="1"/>
  <c r="L35" i="10"/>
  <c r="G35" i="10"/>
  <c r="I34" i="10"/>
  <c r="J34" i="10" s="1"/>
  <c r="K34" i="10"/>
  <c r="N34" i="10" s="1"/>
  <c r="O34" i="10" s="1"/>
  <c r="E34" i="11"/>
  <c r="F34" i="10"/>
  <c r="D34" i="11"/>
  <c r="G34" i="11" s="1"/>
  <c r="G34" i="10"/>
  <c r="L34" i="10"/>
  <c r="I33" i="10"/>
  <c r="J33" i="10" s="1"/>
  <c r="K33" i="10"/>
  <c r="N33" i="10" s="1"/>
  <c r="O33" i="10" s="1"/>
  <c r="E33" i="11"/>
  <c r="F33" i="10"/>
  <c r="D33" i="11"/>
  <c r="G33" i="11" s="1"/>
  <c r="G33" i="10"/>
  <c r="L33" i="10"/>
  <c r="I32" i="10"/>
  <c r="J32" i="10" s="1"/>
  <c r="K32" i="10"/>
  <c r="N32" i="10" s="1"/>
  <c r="O32" i="10" s="1"/>
  <c r="F32" i="10"/>
  <c r="E32" i="11"/>
  <c r="D32" i="11"/>
  <c r="G32" i="11" s="1"/>
  <c r="G32" i="10"/>
  <c r="L32" i="10"/>
  <c r="I31" i="10"/>
  <c r="J31" i="10" s="1"/>
  <c r="K31" i="10"/>
  <c r="N31" i="10" s="1"/>
  <c r="O31" i="10" s="1"/>
  <c r="E31" i="11"/>
  <c r="F31" i="10"/>
  <c r="D31" i="11"/>
  <c r="G31" i="11" s="1"/>
  <c r="G31" i="10"/>
  <c r="L31" i="10"/>
  <c r="I30" i="10"/>
  <c r="J30" i="10" s="1"/>
  <c r="K30" i="10"/>
  <c r="N30" i="10" s="1"/>
  <c r="O30" i="10" s="1"/>
  <c r="E30" i="11"/>
  <c r="F30" i="10"/>
  <c r="D30" i="11"/>
  <c r="G30" i="11" s="1"/>
  <c r="L30" i="10"/>
  <c r="G30" i="10"/>
  <c r="I29" i="10"/>
  <c r="J29" i="10" s="1"/>
  <c r="K29" i="10"/>
  <c r="N29" i="10" s="1"/>
  <c r="O29" i="10" s="1"/>
  <c r="E29" i="11"/>
  <c r="F29" i="10"/>
  <c r="L29" i="10"/>
  <c r="G29" i="10"/>
  <c r="D29" i="11"/>
  <c r="G29" i="11" s="1"/>
  <c r="K28" i="10"/>
  <c r="N28" i="10" s="1"/>
  <c r="O28" i="10" s="1"/>
  <c r="I28" i="10"/>
  <c r="J28" i="10" s="1"/>
  <c r="F28" i="10"/>
  <c r="E28" i="11"/>
  <c r="L28" i="10"/>
  <c r="G28" i="10"/>
  <c r="D28" i="11"/>
  <c r="G28" i="11" s="1"/>
  <c r="K27" i="10"/>
  <c r="N27" i="10" s="1"/>
  <c r="O27" i="10" s="1"/>
  <c r="I27" i="10"/>
  <c r="J27" i="10" s="1"/>
  <c r="F27" i="10"/>
  <c r="E27" i="11"/>
  <c r="D27" i="11"/>
  <c r="G27" i="11" s="1"/>
  <c r="L27" i="10"/>
  <c r="G27" i="10"/>
  <c r="K26" i="10"/>
  <c r="N26" i="10" s="1"/>
  <c r="O26" i="10" s="1"/>
  <c r="I26" i="10"/>
  <c r="J26" i="10" s="1"/>
  <c r="F26" i="10"/>
  <c r="E26" i="11"/>
  <c r="L26" i="10"/>
  <c r="G26" i="10"/>
  <c r="D26" i="11"/>
  <c r="G26" i="11" s="1"/>
  <c r="K25" i="10"/>
  <c r="N25" i="10" s="1"/>
  <c r="O25" i="10" s="1"/>
  <c r="I25" i="10"/>
  <c r="J25" i="10" s="1"/>
  <c r="L25" i="10"/>
  <c r="G25" i="10"/>
  <c r="K24" i="10"/>
  <c r="N24" i="10" s="1"/>
  <c r="O24" i="10" s="1"/>
  <c r="I24" i="10"/>
  <c r="J24" i="10" s="1"/>
  <c r="L24" i="10"/>
  <c r="G24" i="10"/>
  <c r="I23" i="10"/>
  <c r="J23" i="10" s="1"/>
  <c r="K23" i="10"/>
  <c r="N23" i="10" s="1"/>
  <c r="O23" i="10" s="1"/>
  <c r="G23" i="10"/>
  <c r="L23" i="10"/>
  <c r="K22" i="10"/>
  <c r="N22" i="10" s="1"/>
  <c r="O22" i="10" s="1"/>
  <c r="I22" i="10"/>
  <c r="J22" i="10" s="1"/>
  <c r="L22" i="10"/>
  <c r="G22" i="10"/>
  <c r="I21" i="10"/>
  <c r="J21" i="10" s="1"/>
  <c r="K21" i="10"/>
  <c r="N21" i="10" s="1"/>
  <c r="O21" i="10" s="1"/>
  <c r="G21" i="10"/>
  <c r="L21" i="10"/>
  <c r="K20" i="10"/>
  <c r="N20" i="10" s="1"/>
  <c r="O20" i="10" s="1"/>
  <c r="I20" i="10"/>
  <c r="J20" i="10" s="1"/>
  <c r="G20" i="10"/>
  <c r="L20" i="10"/>
  <c r="K19" i="10"/>
  <c r="N19" i="10" s="1"/>
  <c r="O19" i="10" s="1"/>
  <c r="I19" i="10"/>
  <c r="J19" i="10" s="1"/>
  <c r="L19" i="10"/>
  <c r="G19" i="10"/>
  <c r="K18" i="10"/>
  <c r="N18" i="10" s="1"/>
  <c r="O18" i="10" s="1"/>
  <c r="I18" i="10"/>
  <c r="J18" i="10" s="1"/>
  <c r="L18" i="10"/>
  <c r="G18" i="10"/>
  <c r="K17" i="10"/>
  <c r="N17" i="10" s="1"/>
  <c r="O17" i="10" s="1"/>
  <c r="I17" i="10"/>
  <c r="J17" i="10" s="1"/>
  <c r="L17" i="10"/>
  <c r="G17" i="10"/>
  <c r="K16" i="10"/>
  <c r="N16" i="10" s="1"/>
  <c r="O16" i="10" s="1"/>
  <c r="I16" i="10"/>
  <c r="J16" i="10" s="1"/>
  <c r="L16" i="10"/>
  <c r="G16" i="10"/>
  <c r="K15" i="10"/>
  <c r="N15" i="10" s="1"/>
  <c r="O15" i="10" s="1"/>
  <c r="I15" i="10"/>
  <c r="J15" i="10" s="1"/>
  <c r="G27" i="24" s="1"/>
  <c r="L15" i="10"/>
  <c r="G15" i="10"/>
  <c r="E27" i="24" s="1"/>
  <c r="K14" i="10"/>
  <c r="N14" i="10" s="1"/>
  <c r="O14" i="10" s="1"/>
  <c r="I14" i="10"/>
  <c r="J14" i="10" s="1"/>
  <c r="G26" i="24" s="1"/>
  <c r="L14" i="10"/>
  <c r="G14" i="10"/>
  <c r="E26" i="24" s="1"/>
  <c r="K13" i="10"/>
  <c r="N13" i="10" s="1"/>
  <c r="O13" i="10" s="1"/>
  <c r="I13" i="10"/>
  <c r="J13" i="10" s="1"/>
  <c r="G25" i="24" s="1"/>
  <c r="G13" i="10"/>
  <c r="E25" i="24" s="1"/>
  <c r="L13" i="10"/>
  <c r="K12" i="10"/>
  <c r="N12" i="10" s="1"/>
  <c r="O12" i="10" s="1"/>
  <c r="I12" i="10"/>
  <c r="J12" i="10" s="1"/>
  <c r="G24" i="24" s="1"/>
  <c r="L12" i="10"/>
  <c r="G12" i="10"/>
  <c r="E24" i="24" s="1"/>
  <c r="K11" i="10"/>
  <c r="N11" i="10" s="1"/>
  <c r="O11" i="10" s="1"/>
  <c r="I11" i="10"/>
  <c r="J11" i="10" s="1"/>
  <c r="G23" i="24" s="1"/>
  <c r="L11" i="10"/>
  <c r="G11" i="10"/>
  <c r="E23" i="24" s="1"/>
  <c r="I10" i="10"/>
  <c r="J10" i="10" s="1"/>
  <c r="G22" i="24" s="1"/>
  <c r="K10" i="10"/>
  <c r="N10" i="10" s="1"/>
  <c r="O10" i="10" s="1"/>
  <c r="L10" i="10"/>
  <c r="G10" i="10"/>
  <c r="E22" i="24" s="1"/>
  <c r="P9" i="10"/>
  <c r="V9" i="10"/>
  <c r="W9" i="10"/>
  <c r="X9" i="10"/>
  <c r="I21" i="24" s="1"/>
  <c r="K8" i="10"/>
  <c r="N8" i="10" s="1"/>
  <c r="O8" i="10" s="1"/>
  <c r="I8" i="10"/>
  <c r="J8" i="10" s="1"/>
  <c r="G20" i="24" s="1"/>
  <c r="G8" i="10"/>
  <c r="E20" i="24" s="1"/>
  <c r="L8" i="10"/>
  <c r="K7" i="10"/>
  <c r="N7" i="10" s="1"/>
  <c r="O7" i="10" s="1"/>
  <c r="I7" i="10"/>
  <c r="J7" i="10" s="1"/>
  <c r="G19" i="24" s="1"/>
  <c r="L7" i="10"/>
  <c r="G7" i="10"/>
  <c r="E19" i="24" s="1"/>
  <c r="K6" i="10"/>
  <c r="N6" i="10" s="1"/>
  <c r="O6" i="10" s="1"/>
  <c r="I6" i="10"/>
  <c r="J6" i="10" s="1"/>
  <c r="G18" i="24" s="1"/>
  <c r="L6" i="10"/>
  <c r="G6" i="10"/>
  <c r="D29" i="5"/>
  <c r="D26" i="5"/>
  <c r="E3" i="12" s="1"/>
  <c r="D28" i="5"/>
  <c r="D27" i="5"/>
  <c r="B10" i="19" s="1"/>
  <c r="D33" i="5"/>
  <c r="C40" i="4"/>
  <c r="D40" i="4" s="1"/>
  <c r="C38" i="4"/>
  <c r="D38" i="4" s="1"/>
  <c r="D29" i="4"/>
  <c r="D30" i="4" s="1"/>
  <c r="D31" i="4"/>
  <c r="D32" i="4"/>
  <c r="C37" i="4"/>
  <c r="D37" i="4" s="1"/>
  <c r="C39" i="4"/>
  <c r="D39" i="4" s="1"/>
  <c r="B49" i="3"/>
  <c r="B50" i="3"/>
  <c r="C50" i="3" s="1"/>
  <c r="J6" i="11"/>
  <c r="J27" i="11"/>
  <c r="J28" i="11"/>
  <c r="J29" i="11"/>
  <c r="J30" i="11"/>
  <c r="J31" i="11"/>
  <c r="J32" i="11"/>
  <c r="J33" i="11"/>
  <c r="J34" i="11"/>
  <c r="J35" i="11"/>
  <c r="J36" i="11"/>
  <c r="B3" i="12"/>
  <c r="J6" i="12"/>
  <c r="K6" i="12" s="1"/>
  <c r="L6" i="12" s="1"/>
  <c r="O6" i="12" s="1"/>
  <c r="J7" i="12"/>
  <c r="K7" i="12" s="1"/>
  <c r="L7" i="12" s="1"/>
  <c r="O7" i="12" s="1"/>
  <c r="J8" i="12"/>
  <c r="K8" i="12" s="1"/>
  <c r="L8" i="12" s="1"/>
  <c r="O8" i="12" s="1"/>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H19" i="23"/>
  <c r="B6" i="24"/>
  <c r="C6" i="24"/>
  <c r="C49" i="3"/>
  <c r="J8" i="11"/>
  <c r="J9" i="11"/>
  <c r="J10" i="11"/>
  <c r="J11" i="11"/>
  <c r="J7" i="11"/>
  <c r="J12" i="11"/>
  <c r="J13" i="11"/>
  <c r="J14" i="11"/>
  <c r="J15" i="11"/>
  <c r="J16" i="11"/>
  <c r="J17" i="11"/>
  <c r="J18" i="11"/>
  <c r="J19" i="11"/>
  <c r="J20" i="11"/>
  <c r="J21" i="11"/>
  <c r="J22" i="11"/>
  <c r="J23" i="11"/>
  <c r="J24" i="11"/>
  <c r="J25" i="11"/>
  <c r="J26" i="11"/>
  <c r="C48" i="3"/>
  <c r="B51" i="3"/>
  <c r="C51" i="3" s="1"/>
  <c r="B52" i="3"/>
  <c r="C52" i="3" s="1"/>
  <c r="I6" i="11"/>
  <c r="L6" i="11" s="1"/>
  <c r="I27" i="11"/>
  <c r="L27" i="11" s="1"/>
  <c r="N27" i="11" s="1"/>
  <c r="I28" i="11"/>
  <c r="L28" i="11" s="1"/>
  <c r="N28" i="11" s="1"/>
  <c r="I29" i="11"/>
  <c r="L29" i="11" s="1"/>
  <c r="N29" i="11" s="1"/>
  <c r="I30" i="11"/>
  <c r="L30" i="11" s="1"/>
  <c r="N30" i="11" s="1"/>
  <c r="I31" i="11"/>
  <c r="L31" i="11" s="1"/>
  <c r="N31" i="11" s="1"/>
  <c r="I32" i="11"/>
  <c r="L32" i="11" s="1"/>
  <c r="N32" i="11" s="1"/>
  <c r="I33" i="11"/>
  <c r="L33" i="11" s="1"/>
  <c r="N33" i="11" s="1"/>
  <c r="I34" i="11"/>
  <c r="L34" i="11" s="1"/>
  <c r="N34" i="11" s="1"/>
  <c r="I35" i="11"/>
  <c r="L35" i="11" s="1"/>
  <c r="N35" i="11" s="1"/>
  <c r="I36" i="11"/>
  <c r="L36" i="11" s="1"/>
  <c r="N36" i="11" s="1"/>
  <c r="C5" i="24"/>
  <c r="B33" i="5"/>
  <c r="B5" i="24"/>
  <c r="B48" i="3"/>
  <c r="B53" i="3"/>
  <c r="I8" i="11"/>
  <c r="L8" i="11" s="1"/>
  <c r="I9" i="11"/>
  <c r="L9" i="11" s="1"/>
  <c r="I10" i="11"/>
  <c r="L10" i="11" s="1"/>
  <c r="I11" i="11"/>
  <c r="L11" i="11" s="1"/>
  <c r="I7" i="11"/>
  <c r="L7" i="11" s="1"/>
  <c r="I12" i="11"/>
  <c r="L12" i="11" s="1"/>
  <c r="I13" i="11"/>
  <c r="L13" i="11" s="1"/>
  <c r="I14" i="11"/>
  <c r="L14" i="11" s="1"/>
  <c r="I15" i="11"/>
  <c r="L15" i="11" s="1"/>
  <c r="I16" i="11"/>
  <c r="L16" i="11" s="1"/>
  <c r="N16" i="11" s="1"/>
  <c r="I17" i="11"/>
  <c r="L17" i="11" s="1"/>
  <c r="N17" i="11" s="1"/>
  <c r="I18" i="11"/>
  <c r="L18" i="11" s="1"/>
  <c r="N18" i="11" s="1"/>
  <c r="I19" i="11"/>
  <c r="L19" i="11" s="1"/>
  <c r="N19" i="11" s="1"/>
  <c r="I20" i="11"/>
  <c r="L20" i="11" s="1"/>
  <c r="N20" i="11" s="1"/>
  <c r="I21" i="11"/>
  <c r="L21" i="11" s="1"/>
  <c r="N21" i="11" s="1"/>
  <c r="I22" i="11"/>
  <c r="L22" i="11" s="1"/>
  <c r="N22" i="11" s="1"/>
  <c r="I23" i="11"/>
  <c r="L23" i="11" s="1"/>
  <c r="N23" i="11" s="1"/>
  <c r="I24" i="11"/>
  <c r="L24" i="11" s="1"/>
  <c r="N24" i="11" s="1"/>
  <c r="I25" i="11"/>
  <c r="L25" i="11" s="1"/>
  <c r="N25" i="11" s="1"/>
  <c r="I26" i="11"/>
  <c r="L26" i="11" s="1"/>
  <c r="N26" i="11" s="1"/>
  <c r="B9" i="21"/>
  <c r="B10" i="21"/>
  <c r="B11" i="21"/>
  <c r="B12" i="21"/>
  <c r="B17" i="21"/>
  <c r="B19" i="21"/>
  <c r="B20" i="21"/>
  <c r="B21" i="21"/>
  <c r="B22" i="21"/>
  <c r="B23" i="21"/>
  <c r="B24" i="21"/>
  <c r="B29" i="21"/>
  <c r="B30" i="21"/>
  <c r="B31" i="21"/>
  <c r="B32" i="21"/>
  <c r="B33" i="21"/>
  <c r="B34" i="21"/>
  <c r="B35" i="21"/>
  <c r="B36" i="21"/>
  <c r="B5" i="22"/>
  <c r="B6" i="22"/>
  <c r="B7" i="22"/>
  <c r="B8" i="22"/>
  <c r="B9" i="22"/>
  <c r="B10" i="22"/>
  <c r="B11" i="22"/>
  <c r="B12" i="22"/>
  <c r="B17" i="22"/>
  <c r="B18" i="22"/>
  <c r="B19" i="22"/>
  <c r="B20" i="22"/>
  <c r="B21" i="22"/>
  <c r="B22" i="22"/>
  <c r="B23" i="22"/>
  <c r="B24" i="22"/>
  <c r="B18" i="21"/>
  <c r="B29" i="22"/>
  <c r="B30" i="22"/>
  <c r="B31" i="22"/>
  <c r="B32" i="22"/>
  <c r="B33" i="22"/>
  <c r="D62" i="2"/>
  <c r="B34" i="22"/>
  <c r="B35" i="22"/>
  <c r="B36" i="22"/>
  <c r="B5" i="23"/>
  <c r="C53" i="20" s="1"/>
  <c r="B6" i="23"/>
  <c r="C54" i="20" s="1"/>
  <c r="B7" i="23"/>
  <c r="C55" i="20" s="1"/>
  <c r="B8" i="23"/>
  <c r="C56" i="20" s="1"/>
  <c r="B9" i="23"/>
  <c r="C57" i="20" s="1"/>
  <c r="B10" i="23"/>
  <c r="C58" i="20" s="1"/>
  <c r="B11" i="23"/>
  <c r="C59" i="20" s="1"/>
  <c r="B12" i="23"/>
  <c r="C60" i="20" s="1"/>
  <c r="B17" i="23"/>
  <c r="C61" i="20" s="1"/>
  <c r="B18" i="23"/>
  <c r="C62" i="20" s="1"/>
  <c r="B19" i="23"/>
  <c r="C63" i="20" s="1"/>
  <c r="B5" i="21"/>
  <c r="B7" i="21"/>
  <c r="B8" i="21"/>
  <c r="B6" i="21"/>
  <c r="B16" i="3"/>
  <c r="D61" i="2"/>
  <c r="D60" i="2"/>
  <c r="B15" i="3"/>
  <c r="B8" i="19"/>
  <c r="D22" i="15"/>
  <c r="D59" i="2"/>
  <c r="B11" i="3"/>
  <c r="B13" i="3"/>
  <c r="D58" i="2"/>
  <c r="H30" i="23"/>
  <c r="H29" i="23"/>
  <c r="H24" i="23"/>
  <c r="H23" i="23"/>
  <c r="H22" i="23"/>
  <c r="H21" i="23"/>
  <c r="H20" i="23"/>
  <c r="H18" i="23"/>
  <c r="I18" i="23" s="1"/>
  <c r="H17" i="23"/>
  <c r="I17" i="23" s="1"/>
  <c r="H12" i="23"/>
  <c r="I12" i="23" s="1"/>
  <c r="H11" i="23"/>
  <c r="H10" i="23"/>
  <c r="H9" i="23"/>
  <c r="H8" i="23"/>
  <c r="H7" i="23"/>
  <c r="H6" i="23"/>
  <c r="H5" i="23"/>
  <c r="Q34" i="28"/>
  <c r="E15" i="4"/>
  <c r="C15" i="4"/>
  <c r="F15" i="4"/>
  <c r="F21" i="11" l="1"/>
  <c r="P21" i="11"/>
  <c r="P25" i="11"/>
  <c r="F25" i="11"/>
  <c r="F24" i="11"/>
  <c r="P24" i="11"/>
  <c r="P23" i="11"/>
  <c r="F23" i="11"/>
  <c r="P22" i="11"/>
  <c r="F22" i="11"/>
  <c r="P20" i="11"/>
  <c r="F20" i="11"/>
  <c r="P19" i="11"/>
  <c r="F19" i="11"/>
  <c r="P18" i="11"/>
  <c r="F18" i="11"/>
  <c r="F17" i="11"/>
  <c r="P17" i="11"/>
  <c r="P16" i="11"/>
  <c r="F16" i="11"/>
  <c r="P15" i="11"/>
  <c r="F15" i="11"/>
  <c r="F14" i="11"/>
  <c r="P14" i="11"/>
  <c r="P13" i="11"/>
  <c r="F13" i="11"/>
  <c r="F12" i="11"/>
  <c r="P12" i="11"/>
  <c r="P11" i="11"/>
  <c r="F11" i="11"/>
  <c r="P10" i="11"/>
  <c r="F10" i="11"/>
  <c r="F9" i="11"/>
  <c r="P9" i="11"/>
  <c r="P8" i="11"/>
  <c r="F8" i="11"/>
  <c r="F7" i="11"/>
  <c r="P7" i="11"/>
  <c r="F6" i="11"/>
  <c r="P6" i="11"/>
  <c r="I21" i="23"/>
  <c r="I23" i="23"/>
  <c r="I30" i="23"/>
  <c r="J30" i="23" s="1"/>
  <c r="G70" i="20" s="1"/>
  <c r="I22" i="23"/>
  <c r="I24" i="23"/>
  <c r="I29" i="23"/>
  <c r="I20" i="23"/>
  <c r="I19" i="23"/>
  <c r="J35" i="23"/>
  <c r="G75" i="20" s="1"/>
  <c r="D75" i="20"/>
  <c r="J33" i="23"/>
  <c r="G73" i="20" s="1"/>
  <c r="D73" i="20"/>
  <c r="J32" i="23"/>
  <c r="G72" i="20" s="1"/>
  <c r="D72" i="20"/>
  <c r="J36" i="23"/>
  <c r="G76" i="20" s="1"/>
  <c r="D76" i="20"/>
  <c r="D74" i="20"/>
  <c r="J34" i="23"/>
  <c r="G74" i="20" s="1"/>
  <c r="J31" i="23"/>
  <c r="G71" i="20" s="1"/>
  <c r="D71" i="20"/>
  <c r="G21" i="25"/>
  <c r="S34" i="28"/>
  <c r="C58" i="14"/>
  <c r="E7" i="14"/>
  <c r="C3" i="14" s="1"/>
  <c r="D58" i="14"/>
  <c r="E6" i="14"/>
  <c r="F10" i="26"/>
  <c r="F11" i="26"/>
  <c r="F12" i="26"/>
  <c r="F13" i="26"/>
  <c r="F14" i="26"/>
  <c r="S6" i="10"/>
  <c r="S7" i="10"/>
  <c r="S8" i="10"/>
  <c r="S9" i="10"/>
  <c r="S10" i="10"/>
  <c r="S11" i="10"/>
  <c r="S12" i="10"/>
  <c r="S13" i="10"/>
  <c r="S14" i="10"/>
  <c r="S15" i="10"/>
  <c r="S16" i="10"/>
  <c r="S17" i="10"/>
  <c r="S18" i="10"/>
  <c r="S19" i="10"/>
  <c r="S20" i="10"/>
  <c r="S21" i="10"/>
  <c r="S22" i="10"/>
  <c r="S23" i="10"/>
  <c r="S24" i="10"/>
  <c r="S25" i="10"/>
  <c r="S26" i="10"/>
  <c r="S31" i="10"/>
  <c r="S32" i="10"/>
  <c r="S33" i="10"/>
  <c r="S34" i="10"/>
  <c r="S36" i="10"/>
  <c r="S30" i="10"/>
  <c r="S35" i="10"/>
  <c r="S27" i="10"/>
  <c r="S28" i="10"/>
  <c r="S29" i="10"/>
  <c r="U15" i="11"/>
  <c r="H40" i="24"/>
  <c r="U14" i="11"/>
  <c r="H39" i="24"/>
  <c r="U13" i="11"/>
  <c r="H38" i="24"/>
  <c r="U12" i="11"/>
  <c r="H37" i="24"/>
  <c r="U11" i="11"/>
  <c r="H36" i="24"/>
  <c r="U10" i="11"/>
  <c r="H35" i="24"/>
  <c r="U9" i="11"/>
  <c r="H34" i="24"/>
  <c r="V36" i="10"/>
  <c r="P36" i="10"/>
  <c r="W36" i="10"/>
  <c r="X36" i="10"/>
  <c r="F36" i="11"/>
  <c r="P36" i="11"/>
  <c r="W35" i="10"/>
  <c r="P35" i="10"/>
  <c r="V35" i="10"/>
  <c r="X35" i="10"/>
  <c r="F35" i="11"/>
  <c r="P35" i="11"/>
  <c r="P34" i="10"/>
  <c r="V34" i="10"/>
  <c r="W34" i="10"/>
  <c r="X34" i="10"/>
  <c r="F34" i="11"/>
  <c r="P34" i="11"/>
  <c r="P33" i="10"/>
  <c r="V33" i="10"/>
  <c r="W33" i="10"/>
  <c r="X33" i="10"/>
  <c r="F33" i="11"/>
  <c r="P33" i="11"/>
  <c r="P32" i="10"/>
  <c r="V32" i="10"/>
  <c r="W32" i="10"/>
  <c r="X32" i="10"/>
  <c r="F32" i="11"/>
  <c r="P32" i="11"/>
  <c r="P31" i="10"/>
  <c r="V31" i="10"/>
  <c r="W31" i="10"/>
  <c r="X31" i="10"/>
  <c r="F31" i="11"/>
  <c r="P31" i="11"/>
  <c r="P30" i="10"/>
  <c r="V30" i="10"/>
  <c r="W30" i="10"/>
  <c r="X30" i="10"/>
  <c r="F30" i="11"/>
  <c r="P30" i="11"/>
  <c r="P29" i="10"/>
  <c r="W29" i="10"/>
  <c r="V29" i="10"/>
  <c r="X29" i="10"/>
  <c r="F29" i="11"/>
  <c r="P29" i="11"/>
  <c r="P28" i="10"/>
  <c r="W28" i="10"/>
  <c r="X28" i="10"/>
  <c r="V28" i="10"/>
  <c r="F28" i="11"/>
  <c r="P28" i="11"/>
  <c r="V27" i="10"/>
  <c r="W27" i="10"/>
  <c r="P27" i="10"/>
  <c r="X27" i="10"/>
  <c r="F27" i="11"/>
  <c r="P27" i="11"/>
  <c r="P26" i="10"/>
  <c r="V26" i="10"/>
  <c r="W26" i="10"/>
  <c r="X26" i="10"/>
  <c r="F26" i="11"/>
  <c r="P26" i="11"/>
  <c r="P25" i="10"/>
  <c r="V25" i="10"/>
  <c r="W25" i="10"/>
  <c r="X25" i="10"/>
  <c r="P24" i="10"/>
  <c r="V24" i="10"/>
  <c r="W24" i="10"/>
  <c r="X24" i="10"/>
  <c r="P23" i="10"/>
  <c r="V23" i="10"/>
  <c r="W23" i="10"/>
  <c r="X23" i="10"/>
  <c r="P22" i="10"/>
  <c r="V22" i="10"/>
  <c r="W22" i="10"/>
  <c r="X22" i="10"/>
  <c r="P21" i="10"/>
  <c r="V21" i="10"/>
  <c r="W21" i="10"/>
  <c r="X21" i="10"/>
  <c r="P20" i="10"/>
  <c r="V20" i="10"/>
  <c r="W20" i="10"/>
  <c r="X20" i="10"/>
  <c r="P19" i="10"/>
  <c r="V19" i="10"/>
  <c r="W19" i="10"/>
  <c r="X19" i="10"/>
  <c r="P18" i="10"/>
  <c r="V18" i="10"/>
  <c r="W18" i="10"/>
  <c r="X18" i="10"/>
  <c r="P17" i="10"/>
  <c r="V17" i="10"/>
  <c r="W17" i="10"/>
  <c r="X17" i="10"/>
  <c r="P16" i="10"/>
  <c r="V16" i="10"/>
  <c r="W16" i="10"/>
  <c r="X16" i="10"/>
  <c r="P15" i="10"/>
  <c r="V15" i="10"/>
  <c r="W15" i="10"/>
  <c r="X15" i="10"/>
  <c r="I27" i="24" s="1"/>
  <c r="P14" i="10"/>
  <c r="V14" i="10"/>
  <c r="W14" i="10"/>
  <c r="X14" i="10"/>
  <c r="I26" i="24" s="1"/>
  <c r="P13" i="10"/>
  <c r="V13" i="10"/>
  <c r="W13" i="10"/>
  <c r="X13" i="10"/>
  <c r="I25" i="24" s="1"/>
  <c r="P12" i="10"/>
  <c r="V12" i="10"/>
  <c r="W12" i="10"/>
  <c r="X12" i="10"/>
  <c r="I24" i="24" s="1"/>
  <c r="P11" i="10"/>
  <c r="V11" i="10"/>
  <c r="W11" i="10"/>
  <c r="X11" i="10"/>
  <c r="I23" i="24" s="1"/>
  <c r="P10" i="10"/>
  <c r="V10" i="10"/>
  <c r="W10" i="10"/>
  <c r="X10" i="10"/>
  <c r="I22" i="24" s="1"/>
  <c r="Q9" i="10"/>
  <c r="T9" i="10"/>
  <c r="B21" i="24"/>
  <c r="P8" i="10"/>
  <c r="V8" i="10"/>
  <c r="W8" i="10"/>
  <c r="X8" i="10"/>
  <c r="I20" i="24" s="1"/>
  <c r="P7" i="10"/>
  <c r="V7" i="10"/>
  <c r="W7" i="10"/>
  <c r="X7" i="10"/>
  <c r="I19" i="24" s="1"/>
  <c r="V6" i="10"/>
  <c r="W6" i="10"/>
  <c r="X6" i="10"/>
  <c r="I18" i="24" s="1"/>
  <c r="B11" i="24"/>
  <c r="E18" i="24"/>
  <c r="F40" i="4"/>
  <c r="G40" i="4"/>
  <c r="F38" i="4"/>
  <c r="G38" i="4"/>
  <c r="V7" i="11"/>
  <c r="V12" i="11"/>
  <c r="V13" i="11"/>
  <c r="V14" i="11"/>
  <c r="V15" i="11"/>
  <c r="V16" i="11"/>
  <c r="V17" i="11"/>
  <c r="V18" i="11"/>
  <c r="V19" i="11"/>
  <c r="V20" i="11"/>
  <c r="V21" i="11"/>
  <c r="V22" i="11"/>
  <c r="V23" i="11"/>
  <c r="V24" i="11"/>
  <c r="V25" i="11"/>
  <c r="V6" i="11"/>
  <c r="V26" i="11"/>
  <c r="V27" i="11"/>
  <c r="V28" i="11"/>
  <c r="V29" i="11"/>
  <c r="V30" i="11"/>
  <c r="V31" i="11"/>
  <c r="V32" i="11"/>
  <c r="V33" i="11"/>
  <c r="V34" i="11"/>
  <c r="V35" i="11"/>
  <c r="V36" i="11"/>
  <c r="B9" i="19"/>
  <c r="V9" i="11"/>
  <c r="V10" i="11"/>
  <c r="V11" i="11"/>
  <c r="F37" i="4"/>
  <c r="G37" i="4"/>
  <c r="F39" i="4"/>
  <c r="G39" i="4"/>
  <c r="N6" i="11"/>
  <c r="E31" i="24" s="1"/>
  <c r="O6" i="11"/>
  <c r="D31" i="24"/>
  <c r="C53" i="3"/>
  <c r="C7" i="24" s="1"/>
  <c r="B7" i="24"/>
  <c r="F33" i="5"/>
  <c r="N8" i="11"/>
  <c r="E33" i="24" s="1"/>
  <c r="O8" i="11"/>
  <c r="D33" i="24"/>
  <c r="N9" i="11"/>
  <c r="E34" i="24" s="1"/>
  <c r="D34" i="24"/>
  <c r="N10" i="11"/>
  <c r="E35" i="24" s="1"/>
  <c r="D35" i="24"/>
  <c r="N11" i="11"/>
  <c r="E36" i="24" s="1"/>
  <c r="D36" i="24"/>
  <c r="N7" i="11"/>
  <c r="E32" i="24" s="1"/>
  <c r="O7" i="11"/>
  <c r="D32" i="24"/>
  <c r="N12" i="11"/>
  <c r="E37" i="24" s="1"/>
  <c r="D37" i="24"/>
  <c r="N13" i="11"/>
  <c r="E38" i="24" s="1"/>
  <c r="D38" i="24"/>
  <c r="N14" i="11"/>
  <c r="E39" i="24" s="1"/>
  <c r="D39" i="24"/>
  <c r="N15" i="11"/>
  <c r="E40" i="24" s="1"/>
  <c r="D40" i="24"/>
  <c r="I9" i="21"/>
  <c r="C9" i="20"/>
  <c r="I10" i="21"/>
  <c r="C10" i="20"/>
  <c r="I11" i="21"/>
  <c r="C11" i="20"/>
  <c r="I12" i="21"/>
  <c r="C12" i="20"/>
  <c r="I17" i="21"/>
  <c r="C13" i="20"/>
  <c r="I19" i="21"/>
  <c r="C15" i="20"/>
  <c r="I20" i="21"/>
  <c r="C16" i="20"/>
  <c r="I21" i="21"/>
  <c r="C17" i="20"/>
  <c r="I22" i="21"/>
  <c r="C18" i="20"/>
  <c r="I23" i="21"/>
  <c r="C19" i="20"/>
  <c r="I24" i="21"/>
  <c r="C20" i="20"/>
  <c r="I29" i="21"/>
  <c r="C21" i="20"/>
  <c r="I30" i="21"/>
  <c r="C22" i="20"/>
  <c r="I31" i="21"/>
  <c r="C23" i="20"/>
  <c r="I32" i="21"/>
  <c r="C24" i="20"/>
  <c r="I33" i="21"/>
  <c r="C25" i="20"/>
  <c r="I34" i="21"/>
  <c r="C26" i="20"/>
  <c r="I35" i="21"/>
  <c r="C27" i="20"/>
  <c r="I36" i="21"/>
  <c r="C28" i="20"/>
  <c r="I5" i="22"/>
  <c r="C29" i="20"/>
  <c r="I6" i="22"/>
  <c r="C30" i="20"/>
  <c r="I7" i="22"/>
  <c r="C31" i="20"/>
  <c r="I8" i="22"/>
  <c r="C32" i="20"/>
  <c r="I9" i="22"/>
  <c r="C33" i="20"/>
  <c r="I10" i="22"/>
  <c r="C34" i="20"/>
  <c r="I11" i="22"/>
  <c r="C35" i="20"/>
  <c r="I12" i="22"/>
  <c r="C36" i="20"/>
  <c r="I17" i="22"/>
  <c r="C37" i="20"/>
  <c r="I18" i="22"/>
  <c r="C38" i="20"/>
  <c r="I19" i="22"/>
  <c r="C39" i="20"/>
  <c r="I20" i="22"/>
  <c r="C40" i="20"/>
  <c r="I21" i="22"/>
  <c r="C41" i="20"/>
  <c r="I22" i="22"/>
  <c r="C42" i="20"/>
  <c r="I23" i="22"/>
  <c r="C43" i="20"/>
  <c r="I24" i="22"/>
  <c r="C44" i="20"/>
  <c r="I18" i="21"/>
  <c r="C14" i="20"/>
  <c r="I29" i="22"/>
  <c r="C45" i="20"/>
  <c r="I30" i="22"/>
  <c r="C46" i="20"/>
  <c r="I31" i="22"/>
  <c r="C47" i="20"/>
  <c r="I32" i="22"/>
  <c r="C48" i="20"/>
  <c r="I33" i="22"/>
  <c r="C49" i="20"/>
  <c r="I34" i="22"/>
  <c r="C50" i="20"/>
  <c r="I35" i="22"/>
  <c r="C51" i="20"/>
  <c r="I36" i="22"/>
  <c r="C52" i="20"/>
  <c r="I5" i="21"/>
  <c r="C5" i="20"/>
  <c r="I7" i="21"/>
  <c r="C7" i="20"/>
  <c r="I8" i="21"/>
  <c r="C8" i="20"/>
  <c r="I6" i="21"/>
  <c r="C6" i="20"/>
  <c r="D70" i="20"/>
  <c r="D68" i="20"/>
  <c r="J24" i="23"/>
  <c r="G68" i="20" s="1"/>
  <c r="D67" i="20"/>
  <c r="J23" i="23"/>
  <c r="G67" i="20" s="1"/>
  <c r="D66" i="20"/>
  <c r="J22" i="23"/>
  <c r="G66" i="20" s="1"/>
  <c r="D65" i="20"/>
  <c r="J21" i="23"/>
  <c r="G65" i="20" s="1"/>
  <c r="D64" i="20"/>
  <c r="J20" i="23"/>
  <c r="G64" i="20" s="1"/>
  <c r="D62" i="20"/>
  <c r="J18" i="23"/>
  <c r="G62" i="20" s="1"/>
  <c r="D61" i="20"/>
  <c r="J17" i="23"/>
  <c r="G61" i="20" s="1"/>
  <c r="D60" i="20"/>
  <c r="J12" i="23"/>
  <c r="G60" i="20" s="1"/>
  <c r="D58" i="13"/>
  <c r="C57" i="16"/>
  <c r="D57" i="16"/>
  <c r="I11" i="23"/>
  <c r="I10" i="23"/>
  <c r="I9" i="23"/>
  <c r="I8" i="23"/>
  <c r="I7" i="23"/>
  <c r="I6" i="23"/>
  <c r="I5" i="23"/>
  <c r="Q7" i="11" l="1"/>
  <c r="W7" i="11"/>
  <c r="X7" i="11"/>
  <c r="Y7" i="11"/>
  <c r="Z7" i="11"/>
  <c r="I32" i="24" s="1"/>
  <c r="G32" i="24"/>
  <c r="Q6" i="11"/>
  <c r="W6" i="11"/>
  <c r="X6" i="11"/>
  <c r="Q21" i="11"/>
  <c r="W21" i="11"/>
  <c r="X21" i="11"/>
  <c r="Y21" i="11"/>
  <c r="Z21" i="11"/>
  <c r="Q25" i="11"/>
  <c r="W25" i="11"/>
  <c r="X25" i="11"/>
  <c r="Y25" i="11"/>
  <c r="Z25" i="11"/>
  <c r="Q24" i="11"/>
  <c r="W24" i="11"/>
  <c r="X24" i="11"/>
  <c r="Y24" i="11"/>
  <c r="Z24" i="11"/>
  <c r="Q23" i="11"/>
  <c r="W23" i="11"/>
  <c r="X23" i="11"/>
  <c r="Y23" i="11"/>
  <c r="Z23" i="11"/>
  <c r="Q22" i="11"/>
  <c r="W22" i="11"/>
  <c r="X22" i="11"/>
  <c r="Y22" i="11"/>
  <c r="Z22" i="11"/>
  <c r="Q20" i="11"/>
  <c r="W20" i="11"/>
  <c r="X20" i="11"/>
  <c r="Y20" i="11"/>
  <c r="Z20" i="11"/>
  <c r="Q19" i="11"/>
  <c r="W19" i="11"/>
  <c r="X19" i="11"/>
  <c r="Y19" i="11"/>
  <c r="Z19" i="11"/>
  <c r="Q18" i="11"/>
  <c r="W18" i="11"/>
  <c r="X18" i="11"/>
  <c r="Y18" i="11"/>
  <c r="Z18" i="11"/>
  <c r="Q17" i="11"/>
  <c r="W17" i="11"/>
  <c r="X17" i="11"/>
  <c r="Y17" i="11"/>
  <c r="Z17" i="11"/>
  <c r="Z16" i="11"/>
  <c r="Q16" i="11"/>
  <c r="W16" i="11"/>
  <c r="X16" i="11"/>
  <c r="Y16" i="11"/>
  <c r="Z10" i="11"/>
  <c r="I35" i="24" s="1"/>
  <c r="G35" i="24"/>
  <c r="Q9" i="11"/>
  <c r="W9" i="11"/>
  <c r="X9" i="11"/>
  <c r="Y9" i="11"/>
  <c r="Z9" i="11"/>
  <c r="I34" i="24" s="1"/>
  <c r="G34" i="24"/>
  <c r="Q8" i="11"/>
  <c r="W8" i="11"/>
  <c r="X8" i="11"/>
  <c r="Y8" i="11"/>
  <c r="Z8" i="11"/>
  <c r="I33" i="24" s="1"/>
  <c r="G33" i="24"/>
  <c r="Q15" i="11"/>
  <c r="W15" i="11"/>
  <c r="X15" i="11"/>
  <c r="Y15" i="11"/>
  <c r="Z15" i="11"/>
  <c r="I40" i="24" s="1"/>
  <c r="G40" i="24"/>
  <c r="Q14" i="11"/>
  <c r="W14" i="11"/>
  <c r="X14" i="11"/>
  <c r="Y14" i="11"/>
  <c r="Z14" i="11"/>
  <c r="I39" i="24" s="1"/>
  <c r="G39" i="24"/>
  <c r="Q13" i="11"/>
  <c r="W13" i="11"/>
  <c r="X13" i="11"/>
  <c r="Y13" i="11"/>
  <c r="Z13" i="11"/>
  <c r="I38" i="24" s="1"/>
  <c r="G38" i="24"/>
  <c r="Q12" i="11"/>
  <c r="W12" i="11"/>
  <c r="X12" i="11"/>
  <c r="Y12" i="11"/>
  <c r="Z12" i="11"/>
  <c r="I37" i="24" s="1"/>
  <c r="G37" i="24"/>
  <c r="Q11" i="11"/>
  <c r="W11" i="11"/>
  <c r="X11" i="11"/>
  <c r="Y11" i="11"/>
  <c r="Z11" i="11"/>
  <c r="I36" i="24" s="1"/>
  <c r="G36" i="24"/>
  <c r="Q10" i="11"/>
  <c r="W10" i="11"/>
  <c r="X10" i="11"/>
  <c r="Y10" i="11"/>
  <c r="Y6" i="11"/>
  <c r="Z6" i="11"/>
  <c r="I31" i="24" s="1"/>
  <c r="G31" i="24"/>
  <c r="D69" i="20"/>
  <c r="J29" i="23"/>
  <c r="G69" i="20" s="1"/>
  <c r="J19" i="23"/>
  <c r="G63" i="20" s="1"/>
  <c r="D63" i="20"/>
  <c r="H21" i="25"/>
  <c r="D24" i="25"/>
  <c r="G10" i="26"/>
  <c r="H10" i="26" s="1"/>
  <c r="I10" i="26" s="1"/>
  <c r="G11" i="26"/>
  <c r="H11" i="26" s="1"/>
  <c r="I11" i="26" s="1"/>
  <c r="G12" i="26"/>
  <c r="H12" i="26" s="1"/>
  <c r="I12" i="26" s="1"/>
  <c r="G13" i="26"/>
  <c r="H13" i="26" s="1"/>
  <c r="I13" i="26" s="1"/>
  <c r="E16" i="7" s="1"/>
  <c r="G14" i="26"/>
  <c r="H14" i="26" s="1"/>
  <c r="I14" i="26" s="1"/>
  <c r="D14" i="26" s="1"/>
  <c r="Q36" i="10"/>
  <c r="U36" i="10" s="1"/>
  <c r="T36" i="10"/>
  <c r="Y36" i="10" s="1"/>
  <c r="Q36" i="11"/>
  <c r="W36" i="11"/>
  <c r="X36" i="11"/>
  <c r="Y36" i="11"/>
  <c r="Z36" i="11"/>
  <c r="T35" i="10"/>
  <c r="Y35" i="10" s="1"/>
  <c r="Q35" i="10"/>
  <c r="U35" i="10" s="1"/>
  <c r="Q35" i="11"/>
  <c r="W35" i="11"/>
  <c r="X35" i="11"/>
  <c r="Y35" i="11"/>
  <c r="Z35" i="11"/>
  <c r="Q34" i="10"/>
  <c r="U34" i="10" s="1"/>
  <c r="T34" i="10"/>
  <c r="Y34" i="10" s="1"/>
  <c r="Q34" i="11"/>
  <c r="W34" i="11"/>
  <c r="X34" i="11"/>
  <c r="Y34" i="11"/>
  <c r="Z34" i="11"/>
  <c r="Q33" i="10"/>
  <c r="U33" i="10" s="1"/>
  <c r="T33" i="10"/>
  <c r="Y33" i="10" s="1"/>
  <c r="Q33" i="11"/>
  <c r="W33" i="11"/>
  <c r="X33" i="11"/>
  <c r="Y33" i="11"/>
  <c r="Z33" i="11"/>
  <c r="Q32" i="10"/>
  <c r="U32" i="10" s="1"/>
  <c r="T32" i="10"/>
  <c r="Y32" i="10" s="1"/>
  <c r="Q32" i="11"/>
  <c r="W32" i="11"/>
  <c r="X32" i="11"/>
  <c r="Y32" i="11"/>
  <c r="Z32" i="11"/>
  <c r="Q31" i="10"/>
  <c r="U31" i="10" s="1"/>
  <c r="T31" i="10"/>
  <c r="Y31" i="10" s="1"/>
  <c r="Q31" i="11"/>
  <c r="W31" i="11"/>
  <c r="X31" i="11"/>
  <c r="Y31" i="11"/>
  <c r="Z31" i="11"/>
  <c r="T30" i="10"/>
  <c r="Y30" i="10" s="1"/>
  <c r="Q30" i="10"/>
  <c r="U30" i="10" s="1"/>
  <c r="Q30" i="11"/>
  <c r="W30" i="11"/>
  <c r="X30" i="11"/>
  <c r="Y30" i="11"/>
  <c r="Z30" i="11"/>
  <c r="Q29" i="10"/>
  <c r="U29" i="10" s="1"/>
  <c r="T29" i="10"/>
  <c r="Y29" i="10" s="1"/>
  <c r="Q29" i="11"/>
  <c r="W29" i="11"/>
  <c r="X29" i="11"/>
  <c r="Y29" i="11"/>
  <c r="Z29" i="11"/>
  <c r="Q28" i="10"/>
  <c r="U28" i="10" s="1"/>
  <c r="T28" i="10"/>
  <c r="Y28" i="10" s="1"/>
  <c r="Q28" i="11"/>
  <c r="W28" i="11"/>
  <c r="X28" i="11"/>
  <c r="Y28" i="11"/>
  <c r="Z28" i="11"/>
  <c r="Q27" i="10"/>
  <c r="U27" i="10" s="1"/>
  <c r="T27" i="10"/>
  <c r="Y27" i="10" s="1"/>
  <c r="Q27" i="11"/>
  <c r="W27" i="11"/>
  <c r="X27" i="11"/>
  <c r="Y27" i="11"/>
  <c r="Z27" i="11"/>
  <c r="Q26" i="10"/>
  <c r="U26" i="10" s="1"/>
  <c r="T26" i="10"/>
  <c r="Y26" i="10" s="1"/>
  <c r="Q26" i="11"/>
  <c r="W26" i="11"/>
  <c r="X26" i="11"/>
  <c r="Y26" i="11"/>
  <c r="Z26" i="11"/>
  <c r="Q25" i="10"/>
  <c r="U25" i="10" s="1"/>
  <c r="T25" i="10"/>
  <c r="Y25" i="10" s="1"/>
  <c r="Q24" i="10"/>
  <c r="U24" i="10" s="1"/>
  <c r="T24" i="10"/>
  <c r="Y24" i="10" s="1"/>
  <c r="Q23" i="10"/>
  <c r="U23" i="10" s="1"/>
  <c r="T23" i="10"/>
  <c r="Y23" i="10" s="1"/>
  <c r="Q22" i="10"/>
  <c r="U22" i="10" s="1"/>
  <c r="T22" i="10"/>
  <c r="Y22" i="10" s="1"/>
  <c r="Q21" i="10"/>
  <c r="U21" i="10" s="1"/>
  <c r="T21" i="10"/>
  <c r="Y21" i="10" s="1"/>
  <c r="Q20" i="10"/>
  <c r="U20" i="10" s="1"/>
  <c r="T20" i="10"/>
  <c r="Y20" i="10" s="1"/>
  <c r="Q19" i="10"/>
  <c r="U19" i="10" s="1"/>
  <c r="T19" i="10"/>
  <c r="Y19" i="10" s="1"/>
  <c r="Q18" i="10"/>
  <c r="U18" i="10" s="1"/>
  <c r="T18" i="10"/>
  <c r="Y18" i="10" s="1"/>
  <c r="Q17" i="10"/>
  <c r="U17" i="10" s="1"/>
  <c r="T17" i="10"/>
  <c r="Y17" i="10" s="1"/>
  <c r="Q16" i="10"/>
  <c r="U16" i="10" s="1"/>
  <c r="T16" i="10"/>
  <c r="Y16" i="10" s="1"/>
  <c r="Q15" i="10"/>
  <c r="T15" i="10"/>
  <c r="B27" i="24"/>
  <c r="Q14" i="10"/>
  <c r="T14" i="10"/>
  <c r="B26" i="24"/>
  <c r="Q13" i="10"/>
  <c r="T13" i="10"/>
  <c r="B25" i="24"/>
  <c r="Q12" i="10"/>
  <c r="T12" i="10"/>
  <c r="B24" i="24"/>
  <c r="Q11" i="10"/>
  <c r="T11" i="10"/>
  <c r="B23" i="24"/>
  <c r="Q10" i="10"/>
  <c r="T10" i="10"/>
  <c r="B22" i="24"/>
  <c r="U9" i="10"/>
  <c r="H21" i="24" s="1"/>
  <c r="F21" i="24"/>
  <c r="Y9" i="10"/>
  <c r="D21" i="24" s="1"/>
  <c r="C21" i="24"/>
  <c r="Q8" i="10"/>
  <c r="T8" i="10"/>
  <c r="B20" i="24"/>
  <c r="Q7" i="10"/>
  <c r="T7" i="10"/>
  <c r="B19" i="24"/>
  <c r="T6" i="10"/>
  <c r="B18" i="24"/>
  <c r="R6" i="11"/>
  <c r="S6" i="11" s="1"/>
  <c r="T6" i="11"/>
  <c r="AA6" i="11"/>
  <c r="AB6" i="11"/>
  <c r="AC6" i="11"/>
  <c r="AD6" i="11"/>
  <c r="F31" i="24"/>
  <c r="R8" i="11"/>
  <c r="S8" i="11" s="1"/>
  <c r="T8" i="11"/>
  <c r="AA8" i="11"/>
  <c r="AB8" i="11"/>
  <c r="AC8" i="11"/>
  <c r="AD8" i="11"/>
  <c r="F33" i="24"/>
  <c r="R7" i="11"/>
  <c r="S7" i="11" s="1"/>
  <c r="T7" i="11"/>
  <c r="AA7" i="11"/>
  <c r="AB7" i="11"/>
  <c r="AC7" i="11"/>
  <c r="AD7" i="11"/>
  <c r="F32" i="24"/>
  <c r="D9" i="20"/>
  <c r="J9" i="21"/>
  <c r="G9" i="20" s="1"/>
  <c r="D10" i="20"/>
  <c r="J10" i="21"/>
  <c r="G10" i="20" s="1"/>
  <c r="D11" i="20"/>
  <c r="J11" i="21"/>
  <c r="G11" i="20" s="1"/>
  <c r="D12" i="20"/>
  <c r="J12" i="21"/>
  <c r="G12" i="20" s="1"/>
  <c r="D13" i="20"/>
  <c r="J17" i="21"/>
  <c r="G13" i="20" s="1"/>
  <c r="D15" i="20"/>
  <c r="J19" i="21"/>
  <c r="G15" i="20" s="1"/>
  <c r="D16" i="20"/>
  <c r="J20" i="21"/>
  <c r="G16" i="20" s="1"/>
  <c r="D17" i="20"/>
  <c r="J21" i="21"/>
  <c r="G17" i="20" s="1"/>
  <c r="D18" i="20"/>
  <c r="J22" i="21"/>
  <c r="G18" i="20" s="1"/>
  <c r="D19" i="20"/>
  <c r="J23" i="21"/>
  <c r="G19" i="20" s="1"/>
  <c r="D20" i="20"/>
  <c r="J24" i="21"/>
  <c r="G20" i="20" s="1"/>
  <c r="D21" i="20"/>
  <c r="J29" i="21"/>
  <c r="G21" i="20" s="1"/>
  <c r="D22" i="20"/>
  <c r="J30" i="21"/>
  <c r="G22" i="20" s="1"/>
  <c r="D23" i="20"/>
  <c r="J31" i="21"/>
  <c r="G23" i="20" s="1"/>
  <c r="D24" i="20"/>
  <c r="J32" i="21"/>
  <c r="G24" i="20" s="1"/>
  <c r="D25" i="20"/>
  <c r="J33" i="21"/>
  <c r="G25" i="20" s="1"/>
  <c r="D26" i="20"/>
  <c r="J34" i="21"/>
  <c r="G26" i="20" s="1"/>
  <c r="D27" i="20"/>
  <c r="J35" i="21"/>
  <c r="G27" i="20" s="1"/>
  <c r="D28" i="20"/>
  <c r="J36" i="21"/>
  <c r="G28" i="20" s="1"/>
  <c r="D29" i="20"/>
  <c r="J5" i="22"/>
  <c r="G29" i="20" s="1"/>
  <c r="D30" i="20"/>
  <c r="J6" i="22"/>
  <c r="G30" i="20" s="1"/>
  <c r="D31" i="20"/>
  <c r="J7" i="22"/>
  <c r="G31" i="20" s="1"/>
  <c r="D32" i="20"/>
  <c r="J8" i="22"/>
  <c r="G32" i="20" s="1"/>
  <c r="D33" i="20"/>
  <c r="J9" i="22"/>
  <c r="G33" i="20" s="1"/>
  <c r="D34" i="20"/>
  <c r="J10" i="22"/>
  <c r="G34" i="20" s="1"/>
  <c r="D35" i="20"/>
  <c r="J11" i="22"/>
  <c r="G35" i="20" s="1"/>
  <c r="D36" i="20"/>
  <c r="J12" i="22"/>
  <c r="G36" i="20" s="1"/>
  <c r="D37" i="20"/>
  <c r="J17" i="22"/>
  <c r="G37" i="20" s="1"/>
  <c r="D38" i="20"/>
  <c r="J18" i="22"/>
  <c r="G38" i="20" s="1"/>
  <c r="D39" i="20"/>
  <c r="J19" i="22"/>
  <c r="G39" i="20" s="1"/>
  <c r="D40" i="20"/>
  <c r="J20" i="22"/>
  <c r="G40" i="20" s="1"/>
  <c r="D41" i="20"/>
  <c r="J21" i="22"/>
  <c r="G41" i="20" s="1"/>
  <c r="D42" i="20"/>
  <c r="J22" i="22"/>
  <c r="G42" i="20" s="1"/>
  <c r="D43" i="20"/>
  <c r="J23" i="22"/>
  <c r="G43" i="20" s="1"/>
  <c r="D44" i="20"/>
  <c r="J24" i="22"/>
  <c r="G44" i="20" s="1"/>
  <c r="D14" i="20"/>
  <c r="J18" i="21"/>
  <c r="G14" i="20" s="1"/>
  <c r="D45" i="20"/>
  <c r="J29" i="22"/>
  <c r="G45" i="20" s="1"/>
  <c r="D46" i="20"/>
  <c r="J30" i="22"/>
  <c r="G46" i="20" s="1"/>
  <c r="D47" i="20"/>
  <c r="J31" i="22"/>
  <c r="G47" i="20" s="1"/>
  <c r="D48" i="20"/>
  <c r="J32" i="22"/>
  <c r="G48" i="20" s="1"/>
  <c r="D49" i="20"/>
  <c r="J33" i="22"/>
  <c r="G49" i="20" s="1"/>
  <c r="D50" i="20"/>
  <c r="J34" i="22"/>
  <c r="G50" i="20" s="1"/>
  <c r="D51" i="20"/>
  <c r="J35" i="22"/>
  <c r="G51" i="20" s="1"/>
  <c r="D52" i="20"/>
  <c r="J36" i="22"/>
  <c r="G52" i="20" s="1"/>
  <c r="D5" i="20"/>
  <c r="J5" i="21"/>
  <c r="G5" i="20" s="1"/>
  <c r="D7" i="20"/>
  <c r="J7" i="21"/>
  <c r="G7" i="20" s="1"/>
  <c r="D8" i="20"/>
  <c r="J8" i="21"/>
  <c r="G8" i="20" s="1"/>
  <c r="D6" i="20"/>
  <c r="J6" i="21"/>
  <c r="G6" i="20" s="1"/>
  <c r="J11" i="23"/>
  <c r="G59" i="20" s="1"/>
  <c r="D59" i="20"/>
  <c r="J10" i="23"/>
  <c r="G58" i="20" s="1"/>
  <c r="D58" i="20"/>
  <c r="J9" i="23"/>
  <c r="G57" i="20" s="1"/>
  <c r="D57" i="20"/>
  <c r="J8" i="23"/>
  <c r="G56" i="20" s="1"/>
  <c r="D56" i="20"/>
  <c r="J7" i="23"/>
  <c r="G55" i="20" s="1"/>
  <c r="D55" i="20"/>
  <c r="J6" i="23"/>
  <c r="G54" i="20" s="1"/>
  <c r="D54" i="20"/>
  <c r="J5" i="23"/>
  <c r="G53" i="20" s="1"/>
  <c r="D53" i="20"/>
  <c r="E10" i="7" l="1"/>
  <c r="D10" i="26"/>
  <c r="F10" i="7"/>
  <c r="D11" i="26"/>
  <c r="G10" i="7"/>
  <c r="D12" i="26"/>
  <c r="D13" i="26"/>
  <c r="I9" i="7"/>
  <c r="H10" i="7"/>
  <c r="X26" i="18"/>
  <c r="X23" i="18"/>
  <c r="X24" i="18"/>
  <c r="X25" i="18"/>
  <c r="X27" i="18"/>
  <c r="U15" i="10"/>
  <c r="H27" i="24" s="1"/>
  <c r="F27" i="24"/>
  <c r="Y15" i="10"/>
  <c r="D27" i="24" s="1"/>
  <c r="C27" i="24"/>
  <c r="U14" i="10"/>
  <c r="H26" i="24" s="1"/>
  <c r="F26" i="24"/>
  <c r="Y14" i="10"/>
  <c r="D26" i="24" s="1"/>
  <c r="C26" i="24"/>
  <c r="U13" i="10"/>
  <c r="H25" i="24" s="1"/>
  <c r="F25" i="24"/>
  <c r="Y13" i="10"/>
  <c r="D25" i="24" s="1"/>
  <c r="C25" i="24"/>
  <c r="U12" i="10"/>
  <c r="H24" i="24" s="1"/>
  <c r="F24" i="24"/>
  <c r="Y12" i="10"/>
  <c r="D24" i="24" s="1"/>
  <c r="C24" i="24"/>
  <c r="U11" i="10"/>
  <c r="H23" i="24" s="1"/>
  <c r="F23" i="24"/>
  <c r="Y11" i="10"/>
  <c r="D23" i="24" s="1"/>
  <c r="C23" i="24"/>
  <c r="U10" i="10"/>
  <c r="H22" i="24" s="1"/>
  <c r="F22" i="24"/>
  <c r="Y10" i="10"/>
  <c r="D22" i="24" s="1"/>
  <c r="C22" i="24"/>
  <c r="U8" i="10"/>
  <c r="H20" i="24" s="1"/>
  <c r="F20" i="24"/>
  <c r="Y8" i="10"/>
  <c r="D20" i="24" s="1"/>
  <c r="C20" i="24"/>
  <c r="U7" i="10"/>
  <c r="H19" i="24" s="1"/>
  <c r="F19" i="24"/>
  <c r="Y7" i="10"/>
  <c r="D19" i="24" s="1"/>
  <c r="C19" i="24"/>
  <c r="U6" i="10"/>
  <c r="H18" i="24" s="1"/>
  <c r="F18" i="24"/>
  <c r="Y6" i="10"/>
  <c r="C18" i="24"/>
  <c r="U6" i="11"/>
  <c r="H31" i="24"/>
  <c r="U8" i="11"/>
  <c r="H33" i="24"/>
  <c r="U7" i="11"/>
  <c r="H32" i="24"/>
  <c r="F9" i="7" l="1"/>
  <c r="E19" i="7"/>
  <c r="E9" i="7"/>
  <c r="C11" i="26"/>
  <c r="X3" i="18"/>
  <c r="Y3" i="18" s="1"/>
  <c r="X4" i="18"/>
  <c r="Y4" i="18" s="1"/>
  <c r="X5" i="18"/>
  <c r="Y5" i="18" s="1"/>
  <c r="X6" i="18"/>
  <c r="Y6" i="18" s="1"/>
  <c r="X7" i="18"/>
  <c r="Y7" i="18" s="1"/>
  <c r="G9" i="7"/>
  <c r="E18" i="7"/>
  <c r="C12" i="26"/>
  <c r="X8" i="18"/>
  <c r="X9" i="18"/>
  <c r="X10" i="18"/>
  <c r="X12" i="18"/>
  <c r="X11" i="18"/>
  <c r="E17" i="7"/>
  <c r="H9" i="7"/>
  <c r="C13" i="26"/>
  <c r="X16" i="18"/>
  <c r="X17" i="18"/>
  <c r="X13" i="18"/>
  <c r="X14" i="18"/>
  <c r="X15" i="18"/>
  <c r="C14" i="26"/>
  <c r="X18" i="18"/>
  <c r="X20" i="18"/>
  <c r="X21" i="18"/>
  <c r="X19" i="18"/>
  <c r="X22" i="18"/>
  <c r="B9" i="24"/>
  <c r="D18" i="24"/>
  <c r="W9" i="18" l="1"/>
  <c r="Y9" i="18" s="1"/>
  <c r="W10" i="18"/>
  <c r="Y10" i="18" s="1"/>
  <c r="W11" i="18"/>
  <c r="Y11" i="18" s="1"/>
  <c r="W12" i="18"/>
  <c r="Y12" i="18" s="1"/>
  <c r="W8" i="18"/>
  <c r="Y8" i="18" s="1"/>
  <c r="W14" i="18"/>
  <c r="Y14" i="18" s="1"/>
  <c r="W15" i="18"/>
  <c r="Y15" i="18" s="1"/>
  <c r="W16" i="18"/>
  <c r="Y16" i="18" s="1"/>
  <c r="W17" i="18"/>
  <c r="Y17" i="18" s="1"/>
  <c r="W13" i="18"/>
  <c r="Y13" i="18" s="1"/>
  <c r="W19" i="18"/>
  <c r="Y19" i="18" s="1"/>
  <c r="W20" i="18"/>
  <c r="Y20" i="18" s="1"/>
  <c r="W21" i="18"/>
  <c r="Y21" i="18" s="1"/>
  <c r="W22" i="18"/>
  <c r="Y22" i="18" s="1"/>
  <c r="W18" i="18"/>
  <c r="Y18" i="18" s="1"/>
  <c r="W24" i="18"/>
  <c r="Y24" i="18" s="1"/>
  <c r="W25" i="18"/>
  <c r="Y25" i="18" s="1"/>
  <c r="W26" i="18"/>
  <c r="Y26" i="18" s="1"/>
  <c r="W27" i="18"/>
  <c r="Y27" i="18" s="1"/>
  <c r="G38" i="18"/>
  <c r="G40"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9" i="18"/>
  <c r="W23" i="18"/>
  <c r="Y23" i="18" s="1"/>
  <c r="Q38" i="18" l="1"/>
  <c r="O38" i="18"/>
  <c r="Q40" i="18"/>
  <c r="O40" i="18"/>
  <c r="Q3" i="18"/>
  <c r="O3" i="18"/>
  <c r="D2" i="28"/>
  <c r="D3" i="28"/>
  <c r="Q4" i="18"/>
  <c r="O4" i="18"/>
  <c r="D4" i="28"/>
  <c r="Q5" i="18"/>
  <c r="O5" i="18"/>
  <c r="D5" i="28"/>
  <c r="Q6" i="18"/>
  <c r="O6" i="18"/>
  <c r="D6" i="28"/>
  <c r="Q7" i="18"/>
  <c r="O7" i="18"/>
  <c r="D7" i="28"/>
  <c r="Q8" i="18"/>
  <c r="O8" i="18"/>
  <c r="D8" i="28"/>
  <c r="Q9" i="18"/>
  <c r="O9" i="18"/>
  <c r="D9" i="28"/>
  <c r="Q10" i="18"/>
  <c r="O10" i="18"/>
  <c r="D10" i="28"/>
  <c r="Q11" i="18"/>
  <c r="O11" i="18"/>
  <c r="D11" i="28"/>
  <c r="Q12" i="18"/>
  <c r="O12" i="18"/>
  <c r="D12" i="28"/>
  <c r="Q13" i="18"/>
  <c r="O13" i="18"/>
  <c r="D13" i="28"/>
  <c r="Q14" i="18"/>
  <c r="O14" i="18"/>
  <c r="D14" i="28"/>
  <c r="Q15" i="18"/>
  <c r="O15" i="18"/>
  <c r="D15" i="28"/>
  <c r="Q16" i="18"/>
  <c r="O16" i="18"/>
  <c r="D16" i="28"/>
  <c r="Q17" i="18"/>
  <c r="O17" i="18"/>
  <c r="D17" i="28"/>
  <c r="Q18" i="18"/>
  <c r="O18" i="18"/>
  <c r="D18" i="28"/>
  <c r="Q19" i="18"/>
  <c r="O19" i="18"/>
  <c r="D19" i="28"/>
  <c r="Q20" i="18"/>
  <c r="O20" i="18"/>
  <c r="D20" i="28"/>
  <c r="Q21" i="18"/>
  <c r="O21" i="18"/>
  <c r="D21" i="28"/>
  <c r="Q22" i="18"/>
  <c r="O22" i="18"/>
  <c r="D22" i="28"/>
  <c r="Q23" i="18"/>
  <c r="O23" i="18"/>
  <c r="D23" i="28"/>
  <c r="Q24" i="18"/>
  <c r="O24" i="18"/>
  <c r="D24" i="28"/>
  <c r="Q25" i="18"/>
  <c r="O25" i="18"/>
  <c r="D25" i="28"/>
  <c r="O26" i="18"/>
  <c r="Q26" i="18"/>
  <c r="D26" i="28"/>
  <c r="Q27" i="18"/>
  <c r="O27" i="18"/>
  <c r="Q28" i="18"/>
  <c r="O28" i="18"/>
  <c r="D27" i="28"/>
  <c r="O29" i="18"/>
  <c r="D28" i="28"/>
  <c r="Q29" i="18"/>
  <c r="D29" i="28"/>
  <c r="O30" i="18"/>
  <c r="Q30" i="18"/>
  <c r="D30" i="28"/>
  <c r="O31" i="18"/>
  <c r="Q31" i="18"/>
  <c r="Q32" i="18"/>
  <c r="O32" i="18"/>
  <c r="D31" i="28"/>
  <c r="D32" i="28"/>
  <c r="Q33" i="18"/>
  <c r="O33" i="18"/>
  <c r="D33" i="28"/>
  <c r="Q34" i="18"/>
  <c r="O34" i="18"/>
  <c r="D34" i="28"/>
  <c r="Q35" i="18"/>
  <c r="O35" i="18"/>
  <c r="D35" i="28"/>
  <c r="Q36" i="18"/>
  <c r="O36" i="18"/>
  <c r="Q37" i="18"/>
  <c r="O37" i="18"/>
  <c r="Q39" i="18"/>
  <c r="O39" i="18"/>
  <c r="H2" i="28" l="1"/>
  <c r="G2" i="28"/>
  <c r="H3" i="28"/>
  <c r="G3" i="28"/>
  <c r="H4" i="28"/>
  <c r="G4" i="28"/>
  <c r="H5" i="28"/>
  <c r="G5" i="28"/>
  <c r="H6" i="28"/>
  <c r="G6" i="28"/>
  <c r="H7" i="28"/>
  <c r="G7" i="28"/>
  <c r="H8" i="28"/>
  <c r="G8" i="28"/>
  <c r="H9" i="28"/>
  <c r="G9" i="28"/>
  <c r="H10" i="28"/>
  <c r="G10" i="28"/>
  <c r="H11" i="28"/>
  <c r="G11" i="28"/>
  <c r="H12" i="28"/>
  <c r="G12" i="28"/>
  <c r="H13" i="28"/>
  <c r="G13" i="28"/>
  <c r="H14" i="28"/>
  <c r="G14" i="28"/>
  <c r="H15" i="28"/>
  <c r="G15" i="28"/>
  <c r="H16" i="28"/>
  <c r="G16" i="28"/>
  <c r="H17" i="28"/>
  <c r="G17" i="28"/>
  <c r="H18" i="28"/>
  <c r="G18" i="28"/>
  <c r="H19" i="28"/>
  <c r="G19" i="28"/>
  <c r="H20" i="28"/>
  <c r="G20" i="28"/>
  <c r="H21" i="28"/>
  <c r="G21" i="28"/>
  <c r="H22" i="28"/>
  <c r="G22" i="28"/>
  <c r="H23" i="28"/>
  <c r="G23" i="28"/>
  <c r="H24" i="28"/>
  <c r="G24" i="28"/>
  <c r="H25" i="28"/>
  <c r="G25" i="28"/>
  <c r="H26" i="28"/>
  <c r="G26" i="28"/>
  <c r="H27" i="28"/>
  <c r="G27" i="28"/>
  <c r="H28" i="28"/>
  <c r="G28" i="28"/>
  <c r="H29" i="28"/>
  <c r="G29" i="28"/>
  <c r="H30" i="28"/>
  <c r="G30" i="28"/>
  <c r="H31" i="28"/>
  <c r="G31" i="28"/>
  <c r="H32" i="28"/>
  <c r="G32" i="28"/>
  <c r="H33" i="28"/>
  <c r="G33" i="28"/>
  <c r="H34" i="28"/>
  <c r="G34" i="28"/>
  <c r="H35" i="28"/>
  <c r="G35" i="28"/>
</calcChain>
</file>

<file path=xl/sharedStrings.xml><?xml version="1.0" encoding="utf-8"?>
<sst xmlns="http://schemas.openxmlformats.org/spreadsheetml/2006/main" count="1886" uniqueCount="1148">
  <si>
    <t>Risk Management Reporting</t>
  </si>
  <si>
    <t>Select:</t>
  </si>
  <si>
    <t>Reporting Unit:</t>
  </si>
  <si>
    <t>Reporting Period:</t>
  </si>
  <si>
    <t>To be filled in by Corporate Risk Management:</t>
  </si>
  <si>
    <t>Validation Date:</t>
  </si>
  <si>
    <t>Review Date:</t>
  </si>
  <si>
    <t>CEO:</t>
  </si>
  <si>
    <t>Reviewer:</t>
  </si>
  <si>
    <t>RM Contact:</t>
  </si>
  <si>
    <t>Please send this report to:</t>
  </si>
  <si>
    <t>Last Risk Management meeting:</t>
  </si>
  <si>
    <t>CORE v6.0 — Organizational Calibration System</t>
  </si>
  <si>
    <t>Select characteristics → coefficients auto-calculate</t>
  </si>
  <si>
    <t>SECTION A: PRIMARY ORGANIZATIONAL PROFILE</t>
  </si>
  <si>
    <t>Characteristic</t>
  </si>
  <si>
    <t>Selection</t>
  </si>
  <si>
    <t>Weight</t>
  </si>
  <si>
    <t>Impact</t>
  </si>
  <si>
    <t>Description</t>
  </si>
  <si>
    <t>Industry Sector</t>
  </si>
  <si>
    <t>Manufacturing</t>
  </si>
  <si>
    <t>Primary classification</t>
  </si>
  <si>
    <t>Company Maturity</t>
  </si>
  <si>
    <t>Established (&gt;10 years)</t>
  </si>
  <si>
    <t>Lifecycle stage</t>
  </si>
  <si>
    <t>Risk Appetite</t>
  </si>
  <si>
    <t>Moderate</t>
  </si>
  <si>
    <t>Conservative/Moderate/Aggressive</t>
  </si>
  <si>
    <t>Geographic Scope</t>
  </si>
  <si>
    <t>Multi-National</t>
  </si>
  <si>
    <t>Market footprint</t>
  </si>
  <si>
    <t>Regulatory Environment</t>
  </si>
  <si>
    <t>Heavy</t>
  </si>
  <si>
    <t>Regulatory intensity</t>
  </si>
  <si>
    <t>Digital Maturity</t>
  </si>
  <si>
    <t>Advanced</t>
  </si>
  <si>
    <t>Technology integration</t>
  </si>
  <si>
    <t>SECTION B: DERIVED COEFFICIENTS</t>
  </si>
  <si>
    <t>Coefficient</t>
  </si>
  <si>
    <t>Symbol</t>
  </si>
  <si>
    <t>Value</t>
  </si>
  <si>
    <t>Range</t>
  </si>
  <si>
    <t>Used In</t>
  </si>
  <si>
    <t>Velocity Multiplier</t>
  </si>
  <si>
    <t>α</t>
  </si>
  <si>
    <t>0.5–2.0</t>
  </si>
  <si>
    <t>TTS, EW-TTS</t>
  </si>
  <si>
    <t>Impact Scaling</t>
  </si>
  <si>
    <t>β</t>
  </si>
  <si>
    <t>0.5–1.5</t>
  </si>
  <si>
    <t>Normalization</t>
  </si>
  <si>
    <t>Phase Proximity Base</t>
  </si>
  <si>
    <t>Φ₀</t>
  </si>
  <si>
    <t>0.3–0.8</t>
  </si>
  <si>
    <t>EW-TTS</t>
  </si>
  <si>
    <t>Coherence Decay</t>
  </si>
  <si>
    <t>λ_c</t>
  </si>
  <si>
    <t>0.01–0.20</t>
  </si>
  <si>
    <t>Density Matrix</t>
  </si>
  <si>
    <t>Palmer Noise Base</t>
  </si>
  <si>
    <t>η₀</t>
  </si>
  <si>
    <t>0.05–0.30</t>
  </si>
  <si>
    <t>Stochastic resonance</t>
  </si>
  <si>
    <t>Max Velocity</t>
  </si>
  <si>
    <t>v_max</t>
  </si>
  <si>
    <t>3–10</t>
  </si>
  <si>
    <t>Lorentz Factor</t>
  </si>
  <si>
    <t>S</t>
  </si>
  <si>
    <t>|x|+|t|≤S</t>
  </si>
  <si>
    <t>Risk Appetite Factor</t>
  </si>
  <si>
    <t>RAF</t>
  </si>
  <si>
    <t>0.1–0.9</t>
  </si>
  <si>
    <t>Zone thresholds</t>
  </si>
  <si>
    <t>MC Simulation Runs</t>
  </si>
  <si>
    <t>N_MC</t>
  </si>
  <si>
    <t>10–1000</t>
  </si>
  <si>
    <t>Ensemble size</t>
  </si>
  <si>
    <t>Confidence Level</t>
  </si>
  <si>
    <t>CL</t>
  </si>
  <si>
    <t>0.80–0.99</t>
  </si>
  <si>
    <t>VaR percentile</t>
  </si>
  <si>
    <t>Conformal Time Scale</t>
  </si>
  <si>
    <t>κ_t</t>
  </si>
  <si>
    <t>1.5–3.0</t>
  </si>
  <si>
    <t>TANH compression</t>
  </si>
  <si>
    <t>SECTION C: RISK CATEGORIES</t>
  </si>
  <si>
    <t>Category</t>
  </si>
  <si>
    <t>Code</t>
  </si>
  <si>
    <t>RADAR Scope</t>
  </si>
  <si>
    <t>FORGE Scope</t>
  </si>
  <si>
    <t>Opportunity Scope</t>
  </si>
  <si>
    <t>Operational</t>
  </si>
  <si>
    <t>OPS</t>
  </si>
  <si>
    <t>Process failures, supply chain</t>
  </si>
  <si>
    <t>Safety recalls, shutdowns</t>
  </si>
  <si>
    <t>Process optimization</t>
  </si>
  <si>
    <t>Technology</t>
  </si>
  <si>
    <t>TECH</t>
  </si>
  <si>
    <t>Cyber threats, system failures</t>
  </si>
  <si>
    <t>Data breaches, IT outages</t>
  </si>
  <si>
    <t>Digital transformation</t>
  </si>
  <si>
    <t>Regulatory</t>
  </si>
  <si>
    <t>REG</t>
  </si>
  <si>
    <t>Emerging regulation</t>
  </si>
  <si>
    <t>Enforcement actions</t>
  </si>
  <si>
    <t>Regulatory arbitrage</t>
  </si>
  <si>
    <t>Strategic</t>
  </si>
  <si>
    <t>STR</t>
  </si>
  <si>
    <t>Market shifts, competition</t>
  </si>
  <si>
    <t>Partnership collapse</t>
  </si>
  <si>
    <t>M&amp;A, consolidation</t>
  </si>
  <si>
    <t>Financial</t>
  </si>
  <si>
    <t>FIN</t>
  </si>
  <si>
    <t>Currency, credit, liquidity</t>
  </si>
  <si>
    <t>Insolvency, margin calls</t>
  </si>
  <si>
    <t>Capital deployment</t>
  </si>
  <si>
    <t>ESG</t>
  </si>
  <si>
    <t>Climate, social, governance</t>
  </si>
  <si>
    <t>Environmental contamination</t>
  </si>
  <si>
    <t>Sustainability leadership</t>
  </si>
  <si>
    <t>Geopolitical</t>
  </si>
  <si>
    <t>GEO</t>
  </si>
  <si>
    <t>Trade tensions, sanctions</t>
  </si>
  <si>
    <t>Asset seizure, conflict</t>
  </si>
  <si>
    <t>Geographic diversification</t>
  </si>
  <si>
    <t>Reputational</t>
  </si>
  <si>
    <t>REP</t>
  </si>
  <si>
    <t>Brand erosion, media</t>
  </si>
  <si>
    <t>Crisis communications</t>
  </si>
  <si>
    <t>Brand strengthening</t>
  </si>
  <si>
    <t>SECTION D: DROPDOWN SCALE DEFINITIONS</t>
  </si>
  <si>
    <t>Scale</t>
  </si>
  <si>
    <t>Values</t>
  </si>
  <si>
    <t>Sheet</t>
  </si>
  <si>
    <t>Type</t>
  </si>
  <si>
    <t>Notes</t>
  </si>
  <si>
    <t>Velocity (1-10)</t>
  </si>
  <si>
    <t>1=Glacial → 10=Instant</t>
  </si>
  <si>
    <t>RADAR</t>
  </si>
  <si>
    <t>Input</t>
  </si>
  <si>
    <t>Propagation speed</t>
  </si>
  <si>
    <t>Severity (1-10)</t>
  </si>
  <si>
    <t>1=Negligible → 10=Catastrophic</t>
  </si>
  <si>
    <t>FORGE</t>
  </si>
  <si>
    <t>Crisis severity</t>
  </si>
  <si>
    <t>Strategic Fit (1-10)</t>
  </si>
  <si>
    <t>1=Misaligned → 10=Perfect</t>
  </si>
  <si>
    <t>Opportunities</t>
  </si>
  <si>
    <t>Alignment</t>
  </si>
  <si>
    <t>Phase Proximity (0-1)</t>
  </si>
  <si>
    <t>0=Distant → 1=Crystallized</t>
  </si>
  <si>
    <t>Temporal proximity</t>
  </si>
  <si>
    <t>Coherence Factor (0-1)</t>
  </si>
  <si>
    <t>0=Independent → 1=Coupled</t>
  </si>
  <si>
    <t>Inter-risk coupling</t>
  </si>
  <si>
    <t>Response Eff. (0-1)</t>
  </si>
  <si>
    <t>0=None → 0.9=Excellent</t>
  </si>
  <si>
    <t>Calculated</t>
  </si>
  <si>
    <t>From org inputs</t>
  </si>
  <si>
    <t>Resource Factor (0-1)</t>
  </si>
  <si>
    <t>0=None → 0.9=Full</t>
  </si>
  <si>
    <t>Status</t>
  </si>
  <si>
    <t>MONITORING/PREPARING/ACTIVE/RESOLVED</t>
  </si>
  <si>
    <t>OPS/TECH/REG/STR/FIN/ESG/GEO/REP</t>
  </si>
  <si>
    <t>All sheets</t>
  </si>
  <si>
    <t>Risk classification</t>
  </si>
  <si>
    <t>SECTION E: CALIBRATION DERIVATION MAP — How Section A drives Section B</t>
  </si>
  <si>
    <t>Primary Driver(s)</t>
  </si>
  <si>
    <t>Formula Logic</t>
  </si>
  <si>
    <t>Current Value</t>
  </si>
  <si>
    <t>α (Velocity)</t>
  </si>
  <si>
    <t>Industry(0.25)+Geographic(0.15)+Maturity(0.20)</t>
  </si>
  <si>
    <t>0.5 + 1.5 × weighted_avg(ind_vel, geo_scope, mat_speed)</t>
  </si>
  <si>
    <t>β (Impact)</t>
  </si>
  <si>
    <t>Regulatory(0.10)+Maturity(0.20)+Industry(0.25)</t>
  </si>
  <si>
    <t>0.5 + 1.0 × weighted_avg(reg_intensity, mat_inertia, ind_impact)</t>
  </si>
  <si>
    <t>Φ₀ (Phase Prox)</t>
  </si>
  <si>
    <t>Maturity(0.20)+Industry(0.25)+Digital(0.10)</t>
  </si>
  <si>
    <t>0.3 + 0.5 × weighted_avg(mat_volatility, ind_phase, dig_sensitivity)</t>
  </si>
  <si>
    <t>λ_c (Coherence)</t>
  </si>
  <si>
    <t>Geographic(0.15)+Industry(0.25)+Regulatory(0.10)</t>
  </si>
  <si>
    <t>weighted_avg(geo_decay, ind_interconnect, reg_coupling)</t>
  </si>
  <si>
    <t>η₀ (Palmer Noise)</t>
  </si>
  <si>
    <t>Digital(0.10)+Industry(0.25)+RiskAppetite(0.20)</t>
  </si>
  <si>
    <t>weighted_avg(dig_noise, ind_volatility, appetite_uncertainty)</t>
  </si>
  <si>
    <t>Industry(0.25)+Digital(0.10)</t>
  </si>
  <si>
    <t>Industry base velocity + digital acceleration bonus</t>
  </si>
  <si>
    <t>Risk Appetite(0.20)</t>
  </si>
  <si>
    <t>Direct: Conservative=0.3, Moderate=0.5, Aggressive=0.8</t>
  </si>
  <si>
    <t>κ_t (Time Scale)</t>
  </si>
  <si>
    <t>Industry(0.25)+Risk Appetite(0.20)</t>
  </si>
  <si>
    <t>1.5 + 1.5 × weighted_avg(ind_urgency, appetite_compression)</t>
  </si>
  <si>
    <t>CORE v6.0 — Master Framework</t>
  </si>
  <si>
    <t>Horizon Event Risk Opportunity Dynamics — Company-Level Properties</t>
  </si>
  <si>
    <t>GLOBAL PARAMETERS</t>
  </si>
  <si>
    <t>Parameter</t>
  </si>
  <si>
    <t>Unit</t>
  </si>
  <si>
    <t>Min</t>
  </si>
  <si>
    <t>Max</t>
  </si>
  <si>
    <t>Default</t>
  </si>
  <si>
    <t>Company Name</t>
  </si>
  <si>
    <t>Hypothetical Corp</t>
  </si>
  <si>
    <t>Entity under analysis</t>
  </si>
  <si>
    <t>Analysis Date</t>
  </si>
  <si>
    <t>2026-03-04</t>
  </si>
  <si>
    <t>Assessment date</t>
  </si>
  <si>
    <t>Max Impact Exposure</t>
  </si>
  <si>
    <t>€M</t>
  </si>
  <si>
    <t>Upper bound for normalization</t>
  </si>
  <si>
    <t>MC VaR percentile</t>
  </si>
  <si>
    <t>Simulation Runs</t>
  </si>
  <si>
    <t>MC ensemble size</t>
  </si>
  <si>
    <t>Palmer Noise</t>
  </si>
  <si>
    <t>Phase Prox Threshold</t>
  </si>
  <si>
    <t>EW-TTS activation</t>
  </si>
  <si>
    <t>λ temporal decay</t>
  </si>
  <si>
    <t>Conformal Boundary S</t>
  </si>
  <si>
    <t>Lorentz denominator</t>
  </si>
  <si>
    <t>IMPACT NORMALIZATION (€M → Score 0-10)</t>
  </si>
  <si>
    <t>Formula:</t>
  </si>
  <si>
    <t>Score</t>
  </si>
  <si>
    <t>Interpretation</t>
  </si>
  <si>
    <t>Minimal</t>
  </si>
  <si>
    <t>Major</t>
  </si>
  <si>
    <t>Critical</t>
  </si>
  <si>
    <t>Catastrophic</t>
  </si>
  <si>
    <t>Maximum</t>
  </si>
  <si>
    <t>RESILIENCE INDEX (RI) — from Company_RI</t>
  </si>
  <si>
    <t>Component</t>
  </si>
  <si>
    <t>Weighted</t>
  </si>
  <si>
    <t>Control Effectiveness</t>
  </si>
  <si>
    <t>Recovery Capability</t>
  </si>
  <si>
    <t>Resource Adequacy</t>
  </si>
  <si>
    <t>Adaptive Capacity</t>
  </si>
  <si>
    <t>RESILIENCE INDEX (RI)</t>
  </si>
  <si>
    <t>Scale: 0-10</t>
  </si>
  <si>
    <t>STRATEGIC MOBILITY INDEX (SMI) — from Company_SMI</t>
  </si>
  <si>
    <t>Market Positioning</t>
  </si>
  <si>
    <t>Strategic Capital</t>
  </si>
  <si>
    <t>Innovation Capability</t>
  </si>
  <si>
    <t>Strategic Flexibility</t>
  </si>
  <si>
    <t>STRATEGIC MOBILITY INDEX (SMI)</t>
  </si>
  <si>
    <t>RI–SMI DUALITY DIAGNOSTIC</t>
  </si>
  <si>
    <t>Metric</t>
  </si>
  <si>
    <t>RI (Potential Energy)</t>
  </si>
  <si>
    <t>SMI (Kinetic Energy)</t>
  </si>
  <si>
    <t>RI–SMI Ratio</t>
  </si>
  <si>
    <t>Total Energy</t>
  </si>
  <si>
    <t>Gap |RI-SMI|</t>
  </si>
  <si>
    <t>Posture</t>
  </si>
  <si>
    <t>Resilience Index (RI) — Detailed Calculation</t>
  </si>
  <si>
    <t>Potential Energy | Empirical: 8-crisis analysis | Feeds FORGE</t>
  </si>
  <si>
    <t>SECTION A: CRISIS-FREQUENCY WEIGHT DERIVATION</t>
  </si>
  <si>
    <t>Crisis</t>
  </si>
  <si>
    <t>Year</t>
  </si>
  <si>
    <t>CE?</t>
  </si>
  <si>
    <t>RC?</t>
  </si>
  <si>
    <t>RA?</t>
  </si>
  <si>
    <t>AC?</t>
  </si>
  <si>
    <t>Primary Cause</t>
  </si>
  <si>
    <t>ENRON</t>
  </si>
  <si>
    <t>Control collapse</t>
  </si>
  <si>
    <t>2008 Financial</t>
  </si>
  <si>
    <t>Systemic control+resource</t>
  </si>
  <si>
    <t>Deepwater Horizon</t>
  </si>
  <si>
    <t>Safety control+recovery</t>
  </si>
  <si>
    <t>Boeing MAX</t>
  </si>
  <si>
    <t>Design control+adaptive</t>
  </si>
  <si>
    <t>COVID-19</t>
  </si>
  <si>
    <t>Recovery+resource+adaptation</t>
  </si>
  <si>
    <t>SVB</t>
  </si>
  <si>
    <t>Risk control+liquidity</t>
  </si>
  <si>
    <t>Wirecard</t>
  </si>
  <si>
    <t>Fundamental control fraud</t>
  </si>
  <si>
    <t>Credit Suisse</t>
  </si>
  <si>
    <t>All dimensions</t>
  </si>
  <si>
    <t>FREQUENCY</t>
  </si>
  <si>
    <t>WEIGHT</t>
  </si>
  <si>
    <t>APPLIED</t>
  </si>
  <si>
    <t>Rounded</t>
  </si>
  <si>
    <t>SECTION B: COMPONENT SCORING</t>
  </si>
  <si>
    <t>Sub-1</t>
  </si>
  <si>
    <t>Sub-2</t>
  </si>
  <si>
    <t>Sub-3</t>
  </si>
  <si>
    <t>Score (0-10)</t>
  </si>
  <si>
    <t>Method</t>
  </si>
  <si>
    <t>Audit score</t>
  </si>
  <si>
    <t>Process maturity</t>
  </si>
  <si>
    <t>Compliance rate</t>
  </si>
  <si>
    <t>Avg 3 sub-metrics</t>
  </si>
  <si>
    <t>RTO achievement</t>
  </si>
  <si>
    <t>BCP test success</t>
  </si>
  <si>
    <t>Backup coverage</t>
  </si>
  <si>
    <t>Recovery performance</t>
  </si>
  <si>
    <t>Cash/revenue</t>
  </si>
  <si>
    <t>Insurance coverage</t>
  </si>
  <si>
    <t>Credit headroom</t>
  </si>
  <si>
    <t>Financial buffer</t>
  </si>
  <si>
    <t>Learning rate</t>
  </si>
  <si>
    <t>Pivot speed</t>
  </si>
  <si>
    <t>Scenario depth</t>
  </si>
  <si>
    <t>Change responsiveness</t>
  </si>
  <si>
    <t>SECTION C: RI-DERIVED PARAMETERS (→ FORGE)</t>
  </si>
  <si>
    <t>Formula</t>
  </si>
  <si>
    <t>Containment Index</t>
  </si>
  <si>
    <t>CI</t>
  </si>
  <si>
    <t>RI/10</t>
  </si>
  <si>
    <t>FORGE R-TTS</t>
  </si>
  <si>
    <t>Palmer Noise B</t>
  </si>
  <si>
    <t>η_B</t>
  </si>
  <si>
    <t>0.1+0.3×(1-CI)</t>
  </si>
  <si>
    <t>FORGE MC</t>
  </si>
  <si>
    <t>R-TTS Decay Rate</t>
  </si>
  <si>
    <t>λ</t>
  </si>
  <si>
    <t>RI/180</t>
  </si>
  <si>
    <t>FORGE recovery</t>
  </si>
  <si>
    <t>Recovery Modifier</t>
  </si>
  <si>
    <t>R_mod</t>
  </si>
  <si>
    <t>1+(1-RI/10)</t>
  </si>
  <si>
    <t>FORGE time</t>
  </si>
  <si>
    <t>SECTION D: IMPROVEMENT LEVER SENSITIVITY</t>
  </si>
  <si>
    <t>Current</t>
  </si>
  <si>
    <t>RI if +1pt</t>
  </si>
  <si>
    <t>RI Δ</t>
  </si>
  <si>
    <t>Δ/Weight</t>
  </si>
  <si>
    <t>Priority</t>
  </si>
  <si>
    <t>Strategic Mobility Index (SMI) — Detailed Calculation</t>
  </si>
  <si>
    <t>Kinetic Energy | Empirical: 5 opportunity-capture cases | Feeds Opportunities</t>
  </si>
  <si>
    <t>SECTION A: OPPORTUNITY-CAPTURE WEIGHT DERIVATION</t>
  </si>
  <si>
    <t>Case</t>
  </si>
  <si>
    <t>MP?</t>
  </si>
  <si>
    <t>SC?</t>
  </si>
  <si>
    <t>IC?</t>
  </si>
  <si>
    <t>SF?</t>
  </si>
  <si>
    <t>Mechanism</t>
  </si>
  <si>
    <t>Goldman 2008</t>
  </si>
  <si>
    <t>Position+capital</t>
  </si>
  <si>
    <t>Apple iPhone</t>
  </si>
  <si>
    <t>Vision+R&amp;D+execution</t>
  </si>
  <si>
    <t>Tesla EV</t>
  </si>
  <si>
    <t>Position+innovation</t>
  </si>
  <si>
    <t>Zoom COVID</t>
  </si>
  <si>
    <t>Capital+speed+flex</t>
  </si>
  <si>
    <t>NVIDIA AI</t>
  </si>
  <si>
    <t>Position+capital+innov</t>
  </si>
  <si>
    <t>Symmetric MP-SC</t>
  </si>
  <si>
    <t>Market share trend</t>
  </si>
  <si>
    <t>Brand strength</t>
  </si>
  <si>
    <t>Distribution reach</t>
  </si>
  <si>
    <t>Competitive composite</t>
  </si>
  <si>
    <t>R&amp;D spend ratio</t>
  </si>
  <si>
    <t>Talent pipeline</t>
  </si>
  <si>
    <t>IP portfolio</t>
  </si>
  <si>
    <t>Investment index</t>
  </si>
  <si>
    <t>Time-to-market</t>
  </si>
  <si>
    <t>Prototype velocity</t>
  </si>
  <si>
    <t>Digital maturity</t>
  </si>
  <si>
    <t>Innovation pipeline</t>
  </si>
  <si>
    <t>Legacy constraints</t>
  </si>
  <si>
    <t>Decision cycle</t>
  </si>
  <si>
    <t>Agility measure</t>
  </si>
  <si>
    <t>SECTION C: SMI-DERIVED PARAMETERS (→ Opportunities)</t>
  </si>
  <si>
    <t>OTS Amplification</t>
  </si>
  <si>
    <t>A_OTS</t>
  </si>
  <si>
    <t>1+SMI×0.05</t>
  </si>
  <si>
    <t>Capture multiplier</t>
  </si>
  <si>
    <t>Palmer Noise Opp</t>
  </si>
  <si>
    <t>η_O</t>
  </si>
  <si>
    <t>0.1+0.3×(1-SMI/10)</t>
  </si>
  <si>
    <t>Opp MC</t>
  </si>
  <si>
    <t>Capture Velocity</t>
  </si>
  <si>
    <t>v_cap</t>
  </si>
  <si>
    <t>SMI/10</t>
  </si>
  <si>
    <t>Capture speed</t>
  </si>
  <si>
    <t>Momentum</t>
  </si>
  <si>
    <t>p</t>
  </si>
  <si>
    <t>SMI×v_cap</t>
  </si>
  <si>
    <t>Mass×velocity</t>
  </si>
  <si>
    <t>SECTION D: BLACK PHOENIX MATRIX</t>
  </si>
  <si>
    <t>Current RI:</t>
  </si>
  <si>
    <t>Current SMI:</t>
  </si>
  <si>
    <t>Posture:</t>
  </si>
  <si>
    <t>Quadrant</t>
  </si>
  <si>
    <t>RI</t>
  </si>
  <si>
    <t>SMI</t>
  </si>
  <si>
    <t>Example</t>
  </si>
  <si>
    <t>Strategy</t>
  </si>
  <si>
    <t>BLACK PHOENIX</t>
  </si>
  <si>
    <t>≥5.5</t>
  </si>
  <si>
    <t>High resilience + high mobility</t>
  </si>
  <si>
    <t>Apple post-2007</t>
  </si>
  <si>
    <t>Maintain and exploit</t>
  </si>
  <si>
    <t>INCUMBENT DEFENDER</t>
  </si>
  <si>
    <t>&lt;5.5</t>
  </si>
  <si>
    <t>Strong defense, weak offense</t>
  </si>
  <si>
    <t>IBM pre-cloud</t>
  </si>
  <si>
    <t>Build SMI urgently</t>
  </si>
  <si>
    <t>DISRUPTIVE CHALLENGER</t>
  </si>
  <si>
    <t>Strong offense, weak defense</t>
  </si>
  <si>
    <t>Tesla 2015-19</t>
  </si>
  <si>
    <t>Shore up RI</t>
  </si>
  <si>
    <t>DOUBLE EXPOSURE</t>
  </si>
  <si>
    <t>Vulnerable both</t>
  </si>
  <si>
    <t>Kodak 2000s</t>
  </si>
  <si>
    <t>Emergency restructure</t>
  </si>
  <si>
    <t>Objectives</t>
  </si>
  <si>
    <t>Time Horizon:</t>
  </si>
  <si>
    <t>What is the timeframe for which risks and opportunities have been identified and likelihood of occurrence is defined?</t>
  </si>
  <si>
    <t>List of the main objectives taken into consideration to identify the priority risks and opportunities</t>
  </si>
  <si>
    <t>Objectives
(Priority Issues, Orientation Letter, etc)</t>
  </si>
  <si>
    <t>Strategic Priorities</t>
  </si>
  <si>
    <t>Operational performance</t>
  </si>
  <si>
    <t>License to operate</t>
  </si>
  <si>
    <t>Measures / Targets
(Budget, Financial Figures, etc)</t>
  </si>
  <si>
    <t>Stakeholders interests (Corporate responsibility) have been considered to identify the risks</t>
  </si>
  <si>
    <t>Risk Scale Matrix</t>
  </si>
  <si>
    <t>Financial Impact Scale</t>
  </si>
  <si>
    <t>Loss of Cash Flow</t>
  </si>
  <si>
    <t>Probability Scale</t>
  </si>
  <si>
    <t>P Scale</t>
  </si>
  <si>
    <t>PMín</t>
  </si>
  <si>
    <t>PMáx</t>
  </si>
  <si>
    <t>As-planned Scenario (Base Case) = 12 months FCF target</t>
  </si>
  <si>
    <t>Negligible</t>
  </si>
  <si>
    <t>Minor</t>
  </si>
  <si>
    <t xml:space="preserve"> 5) Critical</t>
  </si>
  <si>
    <t xml:space="preserve"> 4) Major</t>
  </si>
  <si>
    <t xml:space="preserve"> 3) Moderate</t>
  </si>
  <si>
    <t xml:space="preserve"> 2) Minor</t>
  </si>
  <si>
    <t xml:space="preserve"> 1) Negligible</t>
  </si>
  <si>
    <t>Non-Financial Impacts</t>
  </si>
  <si>
    <t>1) Negligible</t>
  </si>
  <si>
    <t>2) Minor</t>
  </si>
  <si>
    <t>3) Moderate</t>
  </si>
  <si>
    <t>4) Major</t>
  </si>
  <si>
    <t>5) Critical</t>
  </si>
  <si>
    <t>Damage to physical integrity of the people</t>
  </si>
  <si>
    <t>- Person requires first aid treatment (eg cold compress, band aid etc)</t>
  </si>
  <si>
    <t>- Person requires medical treatment (such as prescribed medication, stitches or sutures etc)</t>
  </si>
  <si>
    <t>- Person is unable to perform all normal duties  (modified or restricted work)</t>
  </si>
  <si>
    <t>- Single fatality or permanently disabling injury or illness (such as amputation, noise induced hearing loss,  etc.)</t>
  </si>
  <si>
    <t>- Multiple fatalities of and/or extensive health impact on staff, contractors or public</t>
  </si>
  <si>
    <t>Loss of motivation &amp; Degradation of social climate</t>
  </si>
  <si>
    <t>- Degradation of professional climate without impact on productivity</t>
  </si>
  <si>
    <t>- Temporary decrease in employee productivity</t>
  </si>
  <si>
    <t>- Long lasting decrease in employee productivity
- Abnormally high staff turnover</t>
  </si>
  <si>
    <t>- Some key executives leave the group
- Social conflict causing the interruption of the activity</t>
  </si>
  <si>
    <t>- A large number of key executives leave the group
- Social conflict causing a long term stoppage of the activity</t>
  </si>
  <si>
    <t>Personal Liability (civil or criminal) for company executive</t>
  </si>
  <si>
    <t>- No personal liability</t>
  </si>
  <si>
    <t>- Subpoena
- Police investigation</t>
  </si>
  <si>
    <t>- Financial penalty
- Police custody</t>
  </si>
  <si>
    <t>- Suspended jail sentence for Employees or Executive
- Loss of civil rights</t>
  </si>
  <si>
    <t>- Jail for employees, executive or directors</t>
  </si>
  <si>
    <t>Environmental</t>
  </si>
  <si>
    <t>- Environmental incident requiring information of public authorities</t>
  </si>
  <si>
    <t>- Environmental incident with limited action required</t>
  </si>
  <si>
    <t>- Environmental harm with medium term recovery (&gt; 5 years) and/or requiring moderate rectification</t>
  </si>
  <si>
    <t>- Environmental harm with long term recovery (&gt;10 years) and/or requiring significant rectification</t>
  </si>
  <si>
    <t>- Catastrophic and/or irreversible environmental harm</t>
  </si>
  <si>
    <t>Image</t>
  </si>
  <si>
    <t>- Minimal impact on reputation</t>
  </si>
  <si>
    <t>- Intra-industry knowledge of incident without media attention</t>
  </si>
  <si>
    <t>- Adverse local media coverage
- Concerns on performance by financial analysts or shareholders</t>
  </si>
  <si>
    <t>- Adverse national media coverage
- Significant decrease of shareholder support
- Poor reputation as an employer</t>
  </si>
  <si>
    <t>- Adverse global media coverage
- Major  loss of shareholder support
- Major  boycott campaign</t>
  </si>
  <si>
    <t>RikId</t>
  </si>
  <si>
    <t>Risk Title
(with a light description)</t>
  </si>
  <si>
    <t>Causes and Factors
(risk main causes and/or factors)</t>
  </si>
  <si>
    <t>Risk Owner</t>
  </si>
  <si>
    <t>Risk Assessment</t>
  </si>
  <si>
    <t>Future Direction
(next quarter)</t>
  </si>
  <si>
    <t>Risk Management Plans</t>
  </si>
  <si>
    <t>Name</t>
  </si>
  <si>
    <t>Function</t>
  </si>
  <si>
    <t>Likelihood
(Probability)</t>
  </si>
  <si>
    <t>Commitment to Additional Actions</t>
  </si>
  <si>
    <t>Due Date</t>
  </si>
  <si>
    <t>Non-Financial</t>
  </si>
  <si>
    <t>RiskId</t>
  </si>
  <si>
    <t>Risk Response</t>
  </si>
  <si>
    <t>Who should know about the Risk? (outside the reporting unit)</t>
  </si>
  <si>
    <t>Who should know about mitigations? (outside the reporting unit)</t>
  </si>
  <si>
    <t>Assurance Providers</t>
  </si>
  <si>
    <t>Uncertainty about Financial Impact</t>
  </si>
  <si>
    <t>Financial Impact on MRF</t>
  </si>
  <si>
    <t>Details of the Calculation</t>
  </si>
  <si>
    <t>Targeted Level of risks after implementation of mitigations</t>
  </si>
  <si>
    <t>Best case</t>
  </si>
  <si>
    <t>Most Credible</t>
  </si>
  <si>
    <t>Worst Case</t>
  </si>
  <si>
    <t>Targeted Probability</t>
  </si>
  <si>
    <t>Targeted Impact</t>
  </si>
  <si>
    <t>RADAR — Risk Assessment Detection &amp; Alert Register (v6.1 Full Calculation Chain)</t>
  </si>
  <si>
    <t>Each column = one verifiable calculation step  |  Blue = Input  |  Black = Formula  |  Green = Cross-sheet reference</t>
  </si>
  <si>
    <t>IDENTIFICATION</t>
  </si>
  <si>
    <t>RISK QUANTIFICATION</t>
  </si>
  <si>
    <t>VELOCITY &amp; LORENTZ</t>
  </si>
  <si>
    <t>TIME &amp; EARLY WARNING</t>
  </si>
  <si>
    <t>PHASE DIAGNOSTICS</t>
  </si>
  <si>
    <t>ENTROPY &amp; URGENCY</t>
  </si>
  <si>
    <t>PALMER NOISE &amp; MC BOUNDS</t>
  </si>
  <si>
    <t>CLASSIFICATION &amp; NOTES</t>
  </si>
  <si>
    <t>Input (0-1)</t>
  </si>
  <si>
    <t>MIN(10,MAX(1,
2×LN(€M+1)))</t>
  </si>
  <si>
    <t>Prob × Impact</t>
  </si>
  <si>
    <t>Input (1-10)</t>
  </si>
  <si>
    <t>H / Calib!C21</t>
  </si>
  <si>
    <t>1/√(1-
MIN(v/v,0.95)²)</t>
  </si>
  <si>
    <t>(10-Vel)×3</t>
  </si>
  <si>
    <t>TTS×Φ×C</t>
  </si>
  <si>
    <t>EW-TTS / γ</t>
  </si>
  <si>
    <t>MIN(1,MAX(0,
(10-LEW)/10))</t>
  </si>
  <si>
    <t>1 - PI</t>
  </si>
  <si>
    <t>Coh_Den!D16</t>
  </si>
  <si>
    <t>S / S_max</t>
  </si>
  <si>
    <t>PI × γ ×
(2-S_ratio)</t>
  </si>
  <si>
    <t>η₀+0.3×
(1-Freedom)</t>
  </si>
  <si>
    <t>LEW×(1-
1.645×η)</t>
  </si>
  <si>
    <t>LEW-TTS</t>
  </si>
  <si>
    <t>LEW×(1+
1.645×η)</t>
  </si>
  <si>
    <t>Based on
Urgency Idx</t>
  </si>
  <si>
    <t>ID</t>
  </si>
  <si>
    <t>Risk Name</t>
  </si>
  <si>
    <t>Prob</t>
  </si>
  <si>
    <t>Impact
(€M)</t>
  </si>
  <si>
    <t>Impact
Score</t>
  </si>
  <si>
    <t>Exp Loss
(€M)</t>
  </si>
  <si>
    <t>Velocity</t>
  </si>
  <si>
    <t>v / v_max</t>
  </si>
  <si>
    <t>Lorentz
Factor γ</t>
  </si>
  <si>
    <t>TTS
(months)</t>
  </si>
  <si>
    <t>Phase
Prox</t>
  </si>
  <si>
    <t>Coh
Factor</t>
  </si>
  <si>
    <t>Lorentz
EW-TTS</t>
  </si>
  <si>
    <t>Phase
Index</t>
  </si>
  <si>
    <t>Freedom
Index</t>
  </si>
  <si>
    <t>Entropy
S</t>
  </si>
  <si>
    <t>Entropy
Ratio</t>
  </si>
  <si>
    <t>Urgency
Index</t>
  </si>
  <si>
    <t>Palmer
Noise η</t>
  </si>
  <si>
    <t>MC P10</t>
  </si>
  <si>
    <t>MC P50</t>
  </si>
  <si>
    <t>MC P90</t>
  </si>
  <si>
    <t>Signal
Str</t>
  </si>
  <si>
    <t>Det
Conf</t>
  </si>
  <si>
    <t>FORGE — Focused Organizational Response &amp; Governance Engine (v6.1 Full Calculation Chain)</t>
  </si>
  <si>
    <t>CRISIS QUANTIFICATION</t>
  </si>
  <si>
    <t>SEVERITY</t>
  </si>
  <si>
    <t>RI / SMI / RESPONSE CALCULATION</t>
  </si>
  <si>
    <t>R-TTS &amp; RESIDUAL</t>
  </si>
  <si>
    <t>URGENCY</t>
  </si>
  <si>
    <t>PALMER NOISE &amp; MC</t>
  </si>
  <si>
    <t>ROI</t>
  </si>
  <si>
    <t>BACKCASTING &amp; STATUS</t>
  </si>
  <si>
    <t>CORE!D36</t>
  </si>
  <si>
    <t>CORE!D44</t>
  </si>
  <si>
    <t>Input (0-10)</t>
  </si>
  <si>
    <t>(RI/10)×
(DQ/10)</t>
  </si>
  <si>
    <t>RI_RA/10</t>
  </si>
  <si>
    <t>RE × RF</t>
  </si>
  <si>
    <t>((10-Sev)×3)×
(1-RE×RF)</t>
  </si>
  <si>
    <t>Impact×
(1-RE)</t>
  </si>
  <si>
    <t>MIN(10,MAX(1,
2×LN(Res+1)))</t>
  </si>
  <si>
    <t>R-TTS ×
R_mod</t>
  </si>
  <si>
    <t>Recovery ×
30.44</t>
  </si>
  <si>
    <t>(Sev/10)×
(1-CI)/R-TTS</t>
  </si>
  <si>
    <t>Based on UI</t>
  </si>
  <si>
    <t>Co_RI!D30</t>
  </si>
  <si>
    <t>Resid×
(1-1.645×η)</t>
  </si>
  <si>
    <t>Residual</t>
  </si>
  <si>
    <t>Resid×
(1+1.645×η)</t>
  </si>
  <si>
    <t>(Imp-Res)
/Res</t>
  </si>
  <si>
    <t>days</t>
  </si>
  <si>
    <t>Severity</t>
  </si>
  <si>
    <t>Decision
Quality</t>
  </si>
  <si>
    <t>Response
Effectiveness</t>
  </si>
  <si>
    <t>Resource
Factor</t>
  </si>
  <si>
    <t>Containment
Index</t>
  </si>
  <si>
    <t>R-TTS
(months)</t>
  </si>
  <si>
    <t>Residual
(€M)</t>
  </si>
  <si>
    <t>Resid
Score</t>
  </si>
  <si>
    <t>Recovery
(months)</t>
  </si>
  <si>
    <t>Recovery
(days)</t>
  </si>
  <si>
    <t>Urgency
Class</t>
  </si>
  <si>
    <t>Palmer
η_B</t>
  </si>
  <si>
    <t>MC
R-Low</t>
  </si>
  <si>
    <t>MC
R-Mid</t>
  </si>
  <si>
    <t>MC
R-High</t>
  </si>
  <si>
    <t>Mitig
ROI</t>
  </si>
  <si>
    <t>Backcast
25%</t>
  </si>
  <si>
    <t>Backcast
50%</t>
  </si>
  <si>
    <t>Backcast
75%</t>
  </si>
  <si>
    <t>Backcast
95%</t>
  </si>
  <si>
    <t>ACTIVE</t>
  </si>
  <si>
    <t>MONITORING</t>
  </si>
  <si>
    <t>Opportunity Register — Risk-Opportunity Duality</t>
  </si>
  <si>
    <t>SMI-amplified capture | High Phase Index = Max Risk for Incumbents = Max Opportunity for Challengers</t>
  </si>
  <si>
    <t>Company SMI:</t>
  </si>
  <si>
    <t>OTS Amplifier:</t>
  </si>
  <si>
    <t>Opportunity</t>
  </si>
  <si>
    <t>Upside(€M)</t>
  </si>
  <si>
    <t>Upside Score</t>
  </si>
  <si>
    <t>EV(€M)</t>
  </si>
  <si>
    <t>Window(mo)</t>
  </si>
  <si>
    <t>Strat Fit</t>
  </si>
  <si>
    <t>SMI Align</t>
  </si>
  <si>
    <t>Capture Idx</t>
  </si>
  <si>
    <t>OTS Amplified</t>
  </si>
  <si>
    <t>Invest(€M)</t>
  </si>
  <si>
    <t>Readiness</t>
  </si>
  <si>
    <t>O-001</t>
  </si>
  <si>
    <t>Market Consolidation</t>
  </si>
  <si>
    <t>O-002</t>
  </si>
  <si>
    <t>Tech Disruption Advantage</t>
  </si>
  <si>
    <t>O-003</t>
  </si>
  <si>
    <t>Regulatory Arbitrage Entry</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</si>
  <si>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</si>
  <si>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</si>
  <si>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</si>
  <si>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</si>
  <si>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</si>
  <si>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</si>
  <si>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</si>
  <si>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</si>
  <si>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</si>
  <si>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</si>
  <si>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</si>
  <si>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</si>
  <si>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</si>
  <si>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</si>
  <si>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</si>
  <si>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</si>
  <si>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</si>
  <si>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</si>
  <si>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</si>
  <si>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</si>
  <si>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</si>
  <si>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</si>
  <si>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</si>
  <si>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</si>
  <si>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</si>
  <si>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</si>
  <si>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</si>
  <si>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</si>
  <si>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Clear Ownership</t>
  </si>
  <si>
    <t>Risk Limits</t>
  </si>
  <si>
    <t>Strength of the Controls</t>
  </si>
  <si>
    <t>Risk Assurance - Monitoring</t>
  </si>
  <si>
    <t xml:space="preserve"> Feedback on risk information provided by Internal Assurance?</t>
  </si>
  <si>
    <t>Applicable?</t>
  </si>
  <si>
    <t xml:space="preserve"> Risk Owner</t>
  </si>
  <si>
    <t xml:space="preserve"> Risk Actionees (responsible persons of mitigation actions)</t>
  </si>
  <si>
    <t xml:space="preserve"> Well functioning decision Forum in place </t>
  </si>
  <si>
    <t xml:space="preserve"> Roles and responsibilities are well defined</t>
  </si>
  <si>
    <t xml:space="preserve"> Informal Risk Limits applied by the business</t>
  </si>
  <si>
    <t xml:space="preserve"> Self-limits fixed the risk owner</t>
  </si>
  <si>
    <t xml:space="preserve"> Limits included in Group Policy or Strategy</t>
  </si>
  <si>
    <t xml:space="preserve"> Group Risk Limits clearly defined and applied</t>
  </si>
  <si>
    <t xml:space="preserve"> Vague estimates</t>
  </si>
  <si>
    <t xml:space="preserve"> Qualitative (management judgement)</t>
  </si>
  <si>
    <t xml:space="preserve"> Quantitative or Qualitative using Group guidelines</t>
  </si>
  <si>
    <t xml:space="preserve"> Uses Loss History</t>
  </si>
  <si>
    <t xml:space="preserve"> Quantitative, distributions and correlations</t>
  </si>
  <si>
    <t>Unreliable</t>
  </si>
  <si>
    <t>Informal</t>
  </si>
  <si>
    <t>Adequate</t>
  </si>
  <si>
    <t>Reliable</t>
  </si>
  <si>
    <t>Effective</t>
  </si>
  <si>
    <t xml:space="preserve"> Self Assessment</t>
  </si>
  <si>
    <t xml:space="preserve"> Early warning: Exceptions – Issues – Whistle Blowing</t>
  </si>
  <si>
    <t xml:space="preserve"> Systematic occured risks and Incident reporting</t>
  </si>
  <si>
    <t xml:space="preserve"> Internal Audit</t>
  </si>
  <si>
    <t xml:space="preserve"> External Audit or certification</t>
  </si>
  <si>
    <t>Risk Interaction Map</t>
  </si>
  <si>
    <t>Risk in rows directly influences Risk in columns</t>
  </si>
  <si>
    <t>Coherence Density Matrix — Von Neumann Entropy</t>
  </si>
  <si>
    <t>5×5 density matrix | S = −Tr(ρ ln ρ) | Coherence Factor C = avg off-diagonal</t>
  </si>
  <si>
    <t>SECTION A: RISK CORRELATION MATRIX ρ (0-1 scale)</t>
  </si>
  <si>
    <t>R-001: Supply Chain</t>
  </si>
  <si>
    <t>R-002: Regulatory</t>
  </si>
  <si>
    <t>R-003: Cyber</t>
  </si>
  <si>
    <t>R-004 (user)</t>
  </si>
  <si>
    <t>R-005 (user)</t>
  </si>
  <si>
    <t>SECTION B: DERIVED METRICS</t>
  </si>
  <si>
    <t>Frobenius Norm²</t>
  </si>
  <si>
    <t>‖ρ‖²_F</t>
  </si>
  <si>
    <t>Σ(ρᵢⱼ²)</t>
  </si>
  <si>
    <t>Von Neumann Entropy</t>
  </si>
  <si>
    <t>ln(5)×[1-(‖ρ/n‖²-1/n)/(1/n-1/n²)]</t>
  </si>
  <si>
    <t>Max Entropy</t>
  </si>
  <si>
    <t>S_max</t>
  </si>
  <si>
    <t>LN(5)</t>
  </si>
  <si>
    <t>Entropy Ratio</t>
  </si>
  <si>
    <t>S/S_max</t>
  </si>
  <si>
    <t>Off-Diagonal Sum</t>
  </si>
  <si>
    <t>Coherence Factor</t>
  </si>
  <si>
    <t>C</t>
  </si>
  <si>
    <t>σρᵢⱼ(i≠j) / n(n-1))</t>
  </si>
  <si>
    <t>Cascade Risk Flag</t>
  </si>
  <si>
    <t>Palmer Noise Adj</t>
  </si>
  <si>
    <t>η_adj</t>
  </si>
  <si>
    <t>η_base × (1+0.5×C)</t>
  </si>
  <si>
    <t>Mapping Risks by Objective</t>
  </si>
  <si>
    <t>Linkages between risks (in rows) and objectives (in columns)</t>
  </si>
  <si>
    <t>Operational Performance</t>
  </si>
  <si>
    <t>Compliance</t>
  </si>
  <si>
    <t>Priority Risks that could occur in a long term view, within a time horizon of 10 years or even more, but on which it is necessary to work on starting from now</t>
  </si>
  <si>
    <t>Prio-rity</t>
  </si>
  <si>
    <t>Risk</t>
  </si>
  <si>
    <t>Risk Category</t>
  </si>
  <si>
    <t>Risk Domain</t>
  </si>
  <si>
    <t>Short Description</t>
  </si>
  <si>
    <t>Pr</t>
  </si>
  <si>
    <t>ImQuanti</t>
  </si>
  <si>
    <t>ImQuali</t>
  </si>
  <si>
    <t>PrMín</t>
  </si>
  <si>
    <t>PrMostlikelly</t>
  </si>
  <si>
    <t>PrMáx</t>
  </si>
  <si>
    <t>PrAggregation</t>
  </si>
  <si>
    <t>ImMín</t>
  </si>
  <si>
    <t>ImMostlikelly</t>
  </si>
  <si>
    <t>ImMáx</t>
  </si>
  <si>
    <t>ImAggregation</t>
  </si>
  <si>
    <t>P x I</t>
  </si>
  <si>
    <t>PrScale</t>
  </si>
  <si>
    <t>ImScale</t>
  </si>
  <si>
    <t>RMin</t>
  </si>
  <si>
    <t>RMax</t>
  </si>
  <si>
    <t>Cash Flow @ Risk</t>
  </si>
  <si>
    <t>Lower Limit (10%)</t>
  </si>
  <si>
    <t>Upper Limit (90%)</t>
  </si>
  <si>
    <t>Strategic Risk</t>
  </si>
  <si>
    <t>Industry Risk</t>
  </si>
  <si>
    <t xml:space="preserve">Management Risk </t>
  </si>
  <si>
    <t>Market Risk: Competitors</t>
  </si>
  <si>
    <t>Operations Risk</t>
  </si>
  <si>
    <t>Market Risk: Products</t>
  </si>
  <si>
    <t>Legal Risk</t>
  </si>
  <si>
    <t>Market Risk: Customers</t>
  </si>
  <si>
    <t xml:space="preserve">Political Risk </t>
  </si>
  <si>
    <t>Information for decision making Risk</t>
  </si>
  <si>
    <t>Exogenous Risk</t>
  </si>
  <si>
    <t>Alignment Risk</t>
  </si>
  <si>
    <t>Market Risk</t>
  </si>
  <si>
    <t>R&amp;D Risk</t>
  </si>
  <si>
    <t>Credit Risk</t>
  </si>
  <si>
    <t>Business Relations Risk</t>
  </si>
  <si>
    <t>Image Risk</t>
  </si>
  <si>
    <t>Stakeholder Satisfaction Risk</t>
  </si>
  <si>
    <t>Employee Relations Risk</t>
  </si>
  <si>
    <t>HR Risk</t>
  </si>
  <si>
    <t>Liquidity Risk</t>
  </si>
  <si>
    <t>Organization Structure Risk</t>
  </si>
  <si>
    <t>Monte Carlo Simulation Framework</t>
  </si>
  <si>
    <t>Integration guide for external MC software + CORE framework alignment</t>
  </si>
  <si>
    <t>SECTION A: MC CONFIGURATION PARAMETERS</t>
  </si>
  <si>
    <t>Source</t>
  </si>
  <si>
    <t>Ensemble Size</t>
  </si>
  <si>
    <t>CORE</t>
  </si>
  <si>
    <t>10-1000</t>
  </si>
  <si>
    <t>50-member for standard; 1000 for validation</t>
  </si>
  <si>
    <t>0.80-0.99</t>
  </si>
  <si>
    <t>95% for VaR reporting</t>
  </si>
  <si>
    <t>Palmer Noise η_A</t>
  </si>
  <si>
    <t>Calibration</t>
  </si>
  <si>
    <t>0.05-0.30</t>
  </si>
  <si>
    <t>Track A stochastic resonance</t>
  </si>
  <si>
    <t>Palmer Noise η_B</t>
  </si>
  <si>
    <t>Company_RI</t>
  </si>
  <si>
    <t>RI-derived</t>
  </si>
  <si>
    <t>Track B from containment</t>
  </si>
  <si>
    <t>Palmer Noise η_O</t>
  </si>
  <si>
    <t>Company_SMI</t>
  </si>
  <si>
    <t>SMI-derived</t>
  </si>
  <si>
    <t>Opportunity track noise</t>
  </si>
  <si>
    <t>Coherence Adjustment</t>
  </si>
  <si>
    <t>Coherence</t>
  </si>
  <si>
    <t>1.0-1.5</t>
  </si>
  <si>
    <t>High-coherence upward adj</t>
  </si>
  <si>
    <t>Distribution</t>
  </si>
  <si>
    <t>Log-Normal</t>
  </si>
  <si>
    <t>Assumption</t>
  </si>
  <si>
    <t>Right-skewed risk distribution</t>
  </si>
  <si>
    <t>Correlation Method</t>
  </si>
  <si>
    <t>Cholesky</t>
  </si>
  <si>
    <t>From coherence density matrix</t>
  </si>
  <si>
    <t>Seed</t>
  </si>
  <si>
    <t>Fixed per run</t>
  </si>
  <si>
    <t>Setting</t>
  </si>
  <si>
    <t>Reproducibility</t>
  </si>
  <si>
    <t>SECTION B: MC OUTPUT SUMMARY (Populate from external simulation)</t>
  </si>
  <si>
    <t>Risk/Opportunity</t>
  </si>
  <si>
    <t>MC Mean</t>
  </si>
  <si>
    <t>MC P5 (VaR)</t>
  </si>
  <si>
    <t>MC P95</t>
  </si>
  <si>
    <t>MC Std Dev</t>
  </si>
  <si>
    <t>SECTION C: MC METHODOLOGY (5-Stage Build Guide)</t>
  </si>
  <si>
    <t>Stage 1: Input Distributions</t>
  </si>
  <si>
    <t>Define probability distributions for each risk parameter (Impact, Velocity, Phase Prox)</t>
  </si>
  <si>
    <t>Stage 2: Correlation Structure</t>
  </si>
  <si>
    <t>Use Cholesky decomposition of coherence density matrix to generate correlated draws</t>
  </si>
  <si>
    <t>Stage 3: Palmer Noise Injection</t>
  </si>
  <si>
    <t>Add stochastic perturbation: X_MC = X_det + η×N(0,1)×X_det for each ensemble member</t>
  </si>
  <si>
    <t>Stage 4: Ensemble Propagation</t>
  </si>
  <si>
    <t>Run N_MC iterations through full TTS/EW-TTS/Phase Index calculation chain</t>
  </si>
  <si>
    <t>Stage 5: Output Statistics</t>
  </si>
  <si>
    <t>Extract P5, P10, P50, P90, P95 percentiles; compute VaR and CVaR</t>
  </si>
  <si>
    <t>Conformal Diagram Data — TANH-Mapped Trajectories</t>
  </si>
  <si>
    <t>|x|+|t|≤S | t=TANH(raw×κ) | x=TANH(score)×(S-t) | Risks: x&gt;0 | Opportunities: x&lt;0</t>
  </si>
  <si>
    <t>Trajectory</t>
  </si>
  <si>
    <t>Quarter</t>
  </si>
  <si>
    <t>t_conf</t>
  </si>
  <si>
    <t>x_conf</t>
  </si>
  <si>
    <t>Impact/Up(€M)</t>
  </si>
  <si>
    <t>Boundary</t>
  </si>
  <si>
    <t>t_raw
(audit)</t>
  </si>
  <si>
    <t>TANH
check</t>
  </si>
  <si>
    <t>Q1-2026</t>
  </si>
  <si>
    <t>RISK</t>
  </si>
  <si>
    <t>Q2-2026</t>
  </si>
  <si>
    <t>Q3-2026</t>
  </si>
  <si>
    <t>Q4-2026</t>
  </si>
  <si>
    <t>Q1-2027</t>
  </si>
  <si>
    <t>Q2-2027</t>
  </si>
  <si>
    <t>Q3-2027</t>
  </si>
  <si>
    <t>Q4-2027</t>
  </si>
  <si>
    <t>R-003: Cybersecurity</t>
  </si>
  <si>
    <t>C-001: Safety Recall</t>
  </si>
  <si>
    <t>CRISIS</t>
  </si>
  <si>
    <t>C-002: Env Contamination</t>
  </si>
  <si>
    <t>C-003: Partnership</t>
  </si>
  <si>
    <t>O-001: Consolidation</t>
  </si>
  <si>
    <t>OPPORTUNITY</t>
  </si>
  <si>
    <t>O-002: Tech Disruption</t>
  </si>
  <si>
    <t>O-003: Reg Arbitrage</t>
  </si>
  <si>
    <t>CONFORMAL BOUNDARY DIAMOND — |x| + |t| ≤ S  (S = CORE!B14)</t>
  </si>
  <si>
    <t>Feature</t>
  </si>
  <si>
    <t>t</t>
  </si>
  <si>
    <t>x</t>
  </si>
  <si>
    <t>Future Vertex (top)</t>
  </si>
  <si>
    <t>Maximum conformal time — all trajectories converge here</t>
  </si>
  <si>
    <t>Right Boundary (risk)</t>
  </si>
  <si>
    <t>Maximum positive spatial extent — extreme risk</t>
  </si>
  <si>
    <t>Left Boundary (opp)</t>
  </si>
  <si>
    <t>Maximum negative spatial extent — extreme opportunity</t>
  </si>
  <si>
    <t>Origin (present)</t>
  </si>
  <si>
    <t>Present moment — analysis start point</t>
  </si>
  <si>
    <t>BOUNDARY EDGES — x = ±(S - t) for t ∈ [0, S]  (21 points per edge)</t>
  </si>
  <si>
    <t>Point</t>
  </si>
  <si>
    <t>x_right
(risk side)</t>
  </si>
  <si>
    <t>x_left
(opp side)</t>
  </si>
  <si>
    <t>|x|+|t|</t>
  </si>
  <si>
    <t>AXIS SCALING — Conformal coordinates via TANH compression</t>
  </si>
  <si>
    <t>Time axis (vertical)</t>
  </si>
  <si>
    <t>t ∈ [0, S]</t>
  </si>
  <si>
    <t>t_conf = TANH(t_raw × κ_t)</t>
  </si>
  <si>
    <t>Raw quarters compressed by TANH. κ_t from Calibration!C26. Higher κ = more compression of later quarters.</t>
  </si>
  <si>
    <t>Spatial axis (horizontal)</t>
  </si>
  <si>
    <t>x ∈ [-S, +S]</t>
  </si>
  <si>
    <t>x_conf = ±TANH(score) × (S - t_conf)</t>
  </si>
  <si>
    <t>Risks (Phase Index): positive x. Opportunities (Capture Index): negative x. TANH bounds scores asymptotically.</t>
  </si>
  <si>
    <t>Boundary condition</t>
  </si>
  <si>
    <t>|x| + |t| ≤ S</t>
  </si>
  <si>
    <t>S = CORE!B14 = Calibration!C22</t>
  </si>
  <si>
    <t>Diamond constraint. Guaranteed by construction: x = TANH(·) × (S - t) ⟹ |x| ≤ S - t ⟹ |x| + t ≤ S.</t>
  </si>
  <si>
    <t>TANH properties</t>
  </si>
  <si>
    <t>TANH(0)=0, TANH(∞)=1</t>
  </si>
  <si>
    <t>Monotonic, bounded, smooth</t>
  </si>
  <si>
    <t>Small scores map nearly linearly. Large scores compress asymptotically toward ±1. Preserves causal ordering.</t>
  </si>
  <si>
    <t>RADAR Trajectories — 8-Quarter Conformal Data</t>
  </si>
  <si>
    <t>t_conf
=TANH(t_raw×κ)</t>
  </si>
  <si>
    <t>Impact(€M)</t>
  </si>
  <si>
    <t>Imp Score</t>
  </si>
  <si>
    <t>Phase Prox</t>
  </si>
  <si>
    <t>Phase Idx</t>
  </si>
  <si>
    <t>x_conf
=TANH(score)×(S-t)</t>
  </si>
  <si>
    <t>t_raw</t>
  </si>
  <si>
    <t>TANH
derivation</t>
  </si>
  <si>
    <t>TANH(0.125×κ_t)</t>
  </si>
  <si>
    <t>TANH(0.25×κ_t)</t>
  </si>
  <si>
    <t>TANH(0.375×κ_t)</t>
  </si>
  <si>
    <t>TANH(0.5×κ_t)</t>
  </si>
  <si>
    <t>TANH(0.625×κ_t)</t>
  </si>
  <si>
    <t>TANH(0.75×κ_t)</t>
  </si>
  <si>
    <t>TANH(0.875×κ_t)</t>
  </si>
  <si>
    <t>TANH(1.0×κ_t)</t>
  </si>
  <si>
    <t>FORGE Trajectories — Crisis Response Data</t>
  </si>
  <si>
    <t>Resp Eff</t>
  </si>
  <si>
    <t>Resid(€M)</t>
  </si>
  <si>
    <t>Resid Score</t>
  </si>
  <si>
    <t>Opportunity Trajectories — Duality Conformal Data</t>
  </si>
  <si>
    <t>Up Score</t>
  </si>
  <si>
    <t>Urgency</t>
  </si>
  <si>
    <t>CORE v6.0 — Executive Dashboard</t>
  </si>
  <si>
    <t>TIER 1: EXECUTIVE SUMMARY</t>
  </si>
  <si>
    <t>Resilience Index (RI)</t>
  </si>
  <si>
    <t>Strategic Mobility (SMI)</t>
  </si>
  <si>
    <t>Strategic Posture</t>
  </si>
  <si>
    <t>Active RADAR Risks</t>
  </si>
  <si>
    <t>CRITICAL Alerts</t>
  </si>
  <si>
    <t>Active FORGE Crises</t>
  </si>
  <si>
    <t>Total Exp Loss (€M)</t>
  </si>
  <si>
    <t>Total Opp Value</t>
  </si>
  <si>
    <t>TIER 2: MANAGEMENT — TOP RADAR RISKS</t>
  </si>
  <si>
    <t>Urgency Idx</t>
  </si>
  <si>
    <t>Exp Loss(€M)</t>
  </si>
  <si>
    <t>Freedom Idx</t>
  </si>
  <si>
    <t>Lorentz γ</t>
  </si>
  <si>
    <t>Palmer η</t>
  </si>
  <si>
    <t>TIER 2: MANAGEMENT — TOP FORGE CRISES</t>
  </si>
  <si>
    <t>DQ (calc)</t>
  </si>
  <si>
    <t>RE</t>
  </si>
  <si>
    <t>Containment</t>
  </si>
  <si>
    <t>R-TTS(mo)</t>
  </si>
  <si>
    <t>Residual(€M)</t>
  </si>
  <si>
    <t xml:space="preserve">Risk Governance </t>
  </si>
  <si>
    <t>A risk committee meeting took place during the last Quarter</t>
  </si>
  <si>
    <t>Accountability</t>
  </si>
  <si>
    <t>% Risks having Risk Owner</t>
  </si>
  <si>
    <t>% Risks having formalized risk response</t>
  </si>
  <si>
    <t>% Risks having an assurance provider different than the risk owner</t>
  </si>
  <si>
    <t>ArcelorMittal Risk Matrix</t>
  </si>
  <si>
    <t>Critical Threshold</t>
  </si>
  <si>
    <t>Logarithm Base</t>
  </si>
  <si>
    <t>Variation On Impact to Aggregation:</t>
  </si>
  <si>
    <t>I Scale</t>
  </si>
  <si>
    <t>IMín</t>
  </si>
  <si>
    <t>IMáx</t>
  </si>
  <si>
    <t>LogarithmicScale</t>
  </si>
  <si>
    <t>NumberOfIntegerDigits</t>
  </si>
  <si>
    <t>NumberO§RoundingScale</t>
  </si>
  <si>
    <t>RoundedAmount</t>
  </si>
  <si>
    <t>ReportingUnit</t>
  </si>
  <si>
    <t>CEO</t>
  </si>
  <si>
    <t>RiskCoordinator</t>
  </si>
  <si>
    <t>Reporting Period</t>
  </si>
  <si>
    <t>ListCodes</t>
  </si>
  <si>
    <t>Company 1</t>
  </si>
  <si>
    <t>AAA 1</t>
  </si>
  <si>
    <t>BBB 2</t>
  </si>
  <si>
    <t>Company 2</t>
  </si>
  <si>
    <t>AAA 2</t>
  </si>
  <si>
    <t>BBB 3</t>
  </si>
  <si>
    <t>2026Q1</t>
  </si>
  <si>
    <t>Company 3</t>
  </si>
  <si>
    <t>AAA 3</t>
  </si>
  <si>
    <t>BBB 4</t>
  </si>
  <si>
    <t>2026Q2</t>
  </si>
  <si>
    <t>Company 4</t>
  </si>
  <si>
    <t>AAA 4</t>
  </si>
  <si>
    <t>BBB 5</t>
  </si>
  <si>
    <t>2026Q3</t>
  </si>
  <si>
    <t>BBB 6</t>
  </si>
  <si>
    <t>2026Q4</t>
  </si>
  <si>
    <t>BBB 7</t>
  </si>
  <si>
    <t>2027Q1</t>
  </si>
  <si>
    <t>BBB 8</t>
  </si>
  <si>
    <t>2027Q2</t>
  </si>
  <si>
    <t>Time Horizon</t>
  </si>
  <si>
    <t>next 12 months</t>
  </si>
  <si>
    <t>next Quarter</t>
  </si>
  <si>
    <t>next 3 - 5 years</t>
  </si>
  <si>
    <t>Selected</t>
  </si>
  <si>
    <t>Trend</t>
  </si>
  <si>
    <t>Increasing</t>
  </si>
  <si>
    <t>Stable</t>
  </si>
  <si>
    <t>Decreasing</t>
  </si>
  <si>
    <t>Emergent (New Risk)</t>
  </si>
  <si>
    <t>Financial_Impacts</t>
  </si>
  <si>
    <t>RiskTitle</t>
  </si>
  <si>
    <t>Causes and Factors</t>
  </si>
  <si>
    <t>FinancialImpactRange</t>
  </si>
  <si>
    <t>NonFinancialImpactRange</t>
  </si>
  <si>
    <t>ProbabilityRange</t>
  </si>
  <si>
    <t>FinancialAreaInTheMatrix</t>
  </si>
  <si>
    <t>NonFinancialAreaInTheMatrix</t>
  </si>
  <si>
    <t>RiskOwner</t>
  </si>
  <si>
    <t>Main Causes</t>
  </si>
  <si>
    <t>Additional Mitigation Plans</t>
  </si>
  <si>
    <t>Ownership</t>
  </si>
  <si>
    <t>Limits</t>
  </si>
  <si>
    <t>Assessment</t>
  </si>
  <si>
    <t>Controls</t>
  </si>
  <si>
    <t>Assurance</t>
  </si>
  <si>
    <t>ControlsTarget</t>
  </si>
  <si>
    <t>ActualControls</t>
  </si>
  <si>
    <t>MissingControls</t>
  </si>
  <si>
    <t>RiskKnowers</t>
  </si>
  <si>
    <t>MitigationKnowers</t>
  </si>
  <si>
    <t>AssuranceProviders</t>
  </si>
  <si>
    <t>IndependantAssurer</t>
  </si>
  <si>
    <t>RiskNumber</t>
  </si>
  <si>
    <t>RiskDirection</t>
  </si>
  <si>
    <t>CORE v6.0 — Formula Reference &amp; Audit Trail</t>
  </si>
  <si>
    <t>Expression</t>
  </si>
  <si>
    <t>Excel</t>
  </si>
  <si>
    <t>Location</t>
  </si>
  <si>
    <t>Impact Normalization</t>
  </si>
  <si>
    <t>I_score = min(10,max(1,2·ln(I_€M+1)))</t>
  </si>
  <si>
    <t>MIN(10,MAX(1,2*LN(€M+1)))</t>
  </si>
  <si>
    <t>RADAR/FORGE/Opp col F</t>
  </si>
  <si>
    <t>Expected Loss</t>
  </si>
  <si>
    <t>EL = P × I_€M</t>
  </si>
  <si>
    <t>d×E</t>
  </si>
  <si>
    <t>RADAR/FORGE col G</t>
  </si>
  <si>
    <t>TTS</t>
  </si>
  <si>
    <t>(10-Velocity)×3</t>
  </si>
  <si>
    <t>(10-vel)*3</t>
  </si>
  <si>
    <t>RADAR col I</t>
  </si>
  <si>
    <t>TTS×Φ_prox×C_factor</t>
  </si>
  <si>
    <t>tts*pp*cf</t>
  </si>
  <si>
    <t>RADAR col L</t>
  </si>
  <si>
    <t>Phase Index</t>
  </si>
  <si>
    <t>min(1,max(0,(10-EWTS)/10))</t>
  </si>
  <si>
    <t>MIN(1,MAX(0,...))</t>
  </si>
  <si>
    <t>RADAR col M</t>
  </si>
  <si>
    <t>Freedom Index</t>
  </si>
  <si>
    <t>1-pi</t>
  </si>
  <si>
    <t>RADAR col N</t>
  </si>
  <si>
    <t>Palmer Noise A</t>
  </si>
  <si>
    <t>η₀+0.3×(1-FI)</t>
  </si>
  <si>
    <t>η+0.3*(1-fi)</t>
  </si>
  <si>
    <t>RADAR col O</t>
  </si>
  <si>
    <t>MC Bounds</t>
  </si>
  <si>
    <t>X×(1±1.645×η)</t>
  </si>
  <si>
    <t>x*(1±1.645*η))</t>
  </si>
  <si>
    <t>RADAR/FORGE P-R</t>
  </si>
  <si>
    <t>R-TTS</t>
  </si>
  <si>
    <t>BaseTTS×(1-RE×RF)</t>
  </si>
  <si>
    <t>((10-sev)*3)*(1-re*rf)</t>
  </si>
  <si>
    <t>FORGE col K</t>
  </si>
  <si>
    <t>Residual Impact</t>
  </si>
  <si>
    <t>I×(1-RE)</t>
  </si>
  <si>
    <t>impact*(1-re)</t>
  </si>
  <si>
    <t>FORGE col L</t>
  </si>
  <si>
    <t>Recovery Time</t>
  </si>
  <si>
    <t>RTTS×R_mod</t>
  </si>
  <si>
    <t>rtts*(1+(1-ri/10))</t>
  </si>
  <si>
    <t>FORGE col N</t>
  </si>
  <si>
    <t>0.1+0.3*(1-ri/10)</t>
  </si>
  <si>
    <t>Company_RI D30</t>
  </si>
  <si>
    <t>Mitigation ROI</t>
  </si>
  <si>
    <t>(I-Resid)/Resid</t>
  </si>
  <si>
    <t>(imp-res)/res</t>
  </si>
  <si>
    <t>FORGE col S</t>
  </si>
  <si>
    <t>SMI Alignment</t>
  </si>
  <si>
    <t>(Fit/10)×(SMI/10)</t>
  </si>
  <si>
    <t>(i/10)*(smi/10)</t>
  </si>
  <si>
    <t>Opp col J</t>
  </si>
  <si>
    <t>Capture Index</t>
  </si>
  <si>
    <t>min(1,KA×P×10/W)</t>
  </si>
  <si>
    <t>MIN(1,...)</t>
  </si>
  <si>
    <t>Opp col K</t>
  </si>
  <si>
    <t>CI×A_OTS</t>
  </si>
  <si>
    <t>ci*amplifier</t>
  </si>
  <si>
    <t>Opp col L</t>
  </si>
  <si>
    <t>Σ(wᵢ×sᵢ)</t>
  </si>
  <si>
    <t>sumproduct</t>
  </si>
  <si>
    <t>Company_RI F25</t>
  </si>
  <si>
    <t>Σ(wⱼ×sⱼ)</t>
  </si>
  <si>
    <t>Company_SMI F22</t>
  </si>
  <si>
    <t>≈ln(n)×[1-(‖ρ‖²-1)/(n-1)]</t>
  </si>
  <si>
    <t>LN(5)*(...)</t>
  </si>
  <si>
    <t>Coherence D16</t>
  </si>
  <si>
    <t>Σρᵢⱼ(i≠j)/n(n-1)</t>
  </si>
  <si>
    <t>sum/20</t>
  </si>
  <si>
    <t>Coherence D20</t>
  </si>
  <si>
    <t>| x|+|t|≤S</t>
  </si>
  <si>
    <t>IF(abs+abs&lt;=s,...)</t>
  </si>
  <si>
    <t>All trajectories</t>
  </si>
  <si>
    <t>Urgency Factor</t>
  </si>
  <si>
    <t>1/(1+W/12)</t>
  </si>
  <si>
    <t>1/(1+win/12)</t>
  </si>
  <si>
    <t>Opp_Examples col G</t>
  </si>
  <si>
    <t>Spatial (Risk)</t>
  </si>
  <si>
    <t>PI×(S-t)</t>
  </si>
  <si>
    <t>pi*(s-t)</t>
  </si>
  <si>
    <t>RADAR_Examples col I</t>
  </si>
  <si>
    <t>Spatial (Crisis)</t>
  </si>
  <si>
    <t>(ResScore/10)×(S-t)</t>
  </si>
  <si>
    <t>(rs/10)*(s-t)</t>
  </si>
  <si>
    <t>FORGE_Examples col I</t>
  </si>
  <si>
    <t>Spatial (Opp)</t>
  </si>
  <si>
    <t>-CI×(S-t)</t>
  </si>
  <si>
    <t>-ci*(s-t)</t>
  </si>
  <si>
    <t>Opp_Examples col I</t>
  </si>
  <si>
    <t>By filtering information in this worksheet, find quickly the legal entities that are included in this Top 10 risks report. You can filter on one or more columns of data. Then enter in the last column of this table the rows matching with these entities.</t>
  </si>
  <si>
    <t>Group</t>
  </si>
  <si>
    <t>Region</t>
  </si>
  <si>
    <t>Segment</t>
  </si>
  <si>
    <t>Subsegment</t>
  </si>
  <si>
    <t>Business Unit</t>
  </si>
  <si>
    <t>Code BPM</t>
  </si>
  <si>
    <t>Description Reporting Entity</t>
  </si>
  <si>
    <t>Country Code</t>
  </si>
  <si>
    <t>Consolidation Status</t>
  </si>
  <si>
    <t>Type 1</t>
  </si>
  <si>
    <t>Included in this Top 10 Risk Assessment</t>
  </si>
  <si>
    <t>Hydreatio</t>
  </si>
  <si>
    <t>Europe</t>
  </si>
  <si>
    <t>Water Treatment</t>
  </si>
  <si>
    <t>RO/MBR</t>
  </si>
  <si>
    <t>Rotreat</t>
  </si>
  <si>
    <t>Au</t>
  </si>
  <si>
    <t>CO</t>
  </si>
  <si>
    <t>LE</t>
  </si>
  <si>
    <t>Corporate</t>
  </si>
  <si>
    <t>Hytreat</t>
  </si>
  <si>
    <t>Voigtländer Water</t>
  </si>
  <si>
    <t>De</t>
  </si>
  <si>
    <t>AI</t>
  </si>
  <si>
    <t>R&amp;D</t>
  </si>
  <si>
    <t>USA</t>
  </si>
  <si>
    <t>China</t>
  </si>
  <si>
    <t>CN</t>
  </si>
  <si>
    <t>As Planned Scenario</t>
  </si>
  <si>
    <t>Macro economic assumptions + business specific drivers such as product demand, factor costs financial variables and the like.</t>
  </si>
  <si>
    <t>Conditions that will determine success or failure or critical assumptions and what are the expected key achievements</t>
  </si>
  <si>
    <t>CORE v7 INTEGRATED RISK &amp; OPPORTUNITY MANAGEMENT — USER GUIDE</t>
  </si>
  <si>
    <t>INTEGRATED WORKFLOW (v7)</t>
  </si>
  <si>
    <t>Step 1:</t>
  </si>
  <si>
    <t>Complete Calibration (org profile dropdowns). All CORE coefficients auto-calculate.</t>
  </si>
  <si>
    <t>Step 2:</t>
  </si>
  <si>
    <t>Complete Company_RI and Company_SMI (sub-component scores 0-10).</t>
  </si>
  <si>
    <t>Step 3:</t>
  </si>
  <si>
    <t>Enter risks in Top 10 Risks sheet (ID, Title, Causes, Impact 1-5, Likelihood 1-5, Trend).</t>
  </si>
  <si>
    <t>Step 4:</t>
  </si>
  <si>
    <t>RADAR auto-populates from Top 10 Risks with full CORE calculation chain.</t>
  </si>
  <si>
    <t>Step 5:</t>
  </si>
  <si>
    <t>Complete Risk Control sheet (ownership, limits, assessment, controls, monitoring).</t>
  </si>
  <si>
    <t>Step 6:</t>
  </si>
  <si>
    <t>FORGE Decision Quality auto-calculates from Risk Control. RE, Containment, R-TTS follow.</t>
  </si>
  <si>
    <t>Step 7:</t>
  </si>
  <si>
    <t>Enter FORGE Severity (1-10) per crisis for R-TTS and Urgency Index to compute.</t>
  </si>
  <si>
    <t>Step 8:</t>
  </si>
  <si>
    <t>Complete Risk Interaction Map. Coherence Density and Von Neumann Entropy auto-update.</t>
  </si>
  <si>
    <t>Step 9:</t>
  </si>
  <si>
    <t>Enter opportunities in Opportunities sheet. Review Dashboard for integrated view.</t>
  </si>
  <si>
    <t>Conformal Boundary CCORD</t>
  </si>
  <si>
    <t>Emerging Risk Assessment (RADAR)</t>
  </si>
  <si>
    <t>Enterprise Risk Assessment (FORGE)</t>
  </si>
  <si>
    <t>To be selected</t>
  </si>
  <si>
    <t>Linked to  cell</t>
  </si>
  <si>
    <t>User input</t>
  </si>
  <si>
    <t>MIN(20, MAX(1, 2×LN(Impact_€M + 1)))</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</si>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</sst>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m/d/yyyy"/>
    <numFmt numFmtId="165" formatCode="[$-F800]dddd&quot;, &quot;mmmm\ dd&quot;, &quot;yyyy"/>
    <numFmt numFmtId="166" formatCode="0.0%"/>
    <numFmt numFmtId="167" formatCode="0.000"/>
    <numFmt numFmtId="168" formatCode="0.0"/>
    <numFmt numFmtId="169" formatCode="#,##0.0&quot; €M&quot;"/>
    <numFmt numFmtId="170" formatCode="#,##0&quot; mio USD&quot;"/>
    <numFmt numFmtId="171" formatCode="#,##0.00&quot; mio €&quot;"/>
    <numFmt numFmtId="172" formatCode="&quot;above &quot;#,##0&quot; mio €&quot;"/>
    <numFmt numFmtId="173" formatCode="#,##0.0_);[Red]\(#,##0.0\)"/>
    <numFmt numFmtId="174" formatCode="#,##0.0&quot; mio US$&quot;"/>
    <numFmt numFmtId="175" formatCode="0&quot; mio USD&quot;"/>
    <numFmt numFmtId="176" formatCode="dd/mm/yyyy;@"/>
    <numFmt numFmtId="177" formatCode="0.00\x"/>
    <numFmt numFmtId="178" formatCode="0.0\x"/>
    <numFmt numFmtId="179" formatCode="#,##0_);[Red]\(#,##0\)"/>
    <numFmt numFmtId="180" formatCode="0.0000"/>
    <numFmt numFmtId="181" formatCode="#,##0&quot; €M&quot;"/>
    <numFmt numFmtId="182" formatCode="mm/dd/yy\ hh:mm\ AM/PM"/>
    <numFmt numFmtId="183" formatCode="_(* #,##0_);_(* \(#,##0\);_(* \-??_);_(@_)"/>
  </numFmts>
  <fonts count="56" x14ac:knownFonts="1">
    <font>
      <sz val="11"/>
      <color theme="1"/>
      <name val="Calibri"/>
      <family val="2"/>
      <charset val="1"/>
    </font>
    <font>
      <sz val="8"/>
      <name val="Arial"/>
      <family val="2"/>
      <charset val="1"/>
    </font>
    <font>
      <sz val="16"/>
      <name val="Arial"/>
      <family val="2"/>
      <charset val="1"/>
    </font>
    <font>
      <b/>
      <sz val="10"/>
      <name val="Arial"/>
      <family val="2"/>
      <charset val="1"/>
    </font>
    <font>
      <sz val="10"/>
      <name val="Arial"/>
      <family val="2"/>
      <charset val="1"/>
    </font>
    <font>
      <u/>
      <sz val="8"/>
      <name val="Arial"/>
      <family val="2"/>
      <charset val="1"/>
    </font>
    <font>
      <u/>
      <sz val="10"/>
      <color theme="10"/>
      <name val="Arial"/>
      <family val="2"/>
      <charset val="1"/>
    </font>
    <font>
      <b/>
      <sz val="14"/>
      <color rgb="FFFFFFFF"/>
      <name val="Arial"/>
      <family val="2"/>
    </font>
    <font>
      <i/>
      <sz val="9"/>
      <name val="Arial"/>
      <family val="2"/>
    </font>
    <font>
      <b/>
      <sz val="10"/>
      <color rgb="FF1B2A4A"/>
      <name val="Arial"/>
      <family val="2"/>
    </font>
    <font>
      <b/>
      <sz val="11"/>
      <color rgb="FFFFFFFF"/>
      <name val="Arial"/>
      <family val="2"/>
    </font>
    <font>
      <b/>
      <sz val="10"/>
      <name val="Arial"/>
      <family val="2"/>
    </font>
    <font>
      <sz val="10"/>
      <color rgb="FF0000FF"/>
      <name val="Arial"/>
      <family val="2"/>
    </font>
    <font>
      <sz val="10"/>
      <name val="Arial"/>
      <family val="2"/>
    </font>
    <font>
      <i/>
      <sz val="10"/>
      <name val="Arial"/>
      <family val="2"/>
    </font>
    <font>
      <sz val="9"/>
      <color rgb="FF000000"/>
      <name val="Arial"/>
      <family val="2"/>
    </font>
    <font>
      <b/>
      <sz val="10"/>
      <color rgb="FFFFFFFF"/>
      <name val="Arial"/>
      <family val="2"/>
    </font>
    <font>
      <b/>
      <sz val="9"/>
      <color rgb="FFFFFFFF"/>
      <name val="Arial"/>
      <family val="2"/>
    </font>
    <font>
      <b/>
      <sz val="9"/>
      <color rgb="FF000000"/>
      <name val="Arial"/>
      <family val="2"/>
    </font>
    <font>
      <sz val="9"/>
      <color rgb="FF333333"/>
      <name val="Arial"/>
      <family val="2"/>
    </font>
    <font>
      <sz val="9"/>
      <color rgb="FF666666"/>
      <name val="Arial"/>
      <family val="2"/>
    </font>
    <font>
      <sz val="9"/>
      <color rgb="FF008000"/>
      <name val="Arial"/>
      <family val="2"/>
    </font>
    <font>
      <i/>
      <sz val="10"/>
      <color rgb="FF2E5090"/>
      <name val="Arial"/>
      <family val="2"/>
    </font>
    <font>
      <sz val="10"/>
      <color rgb="FF000000"/>
      <name val="Arial"/>
      <family val="2"/>
    </font>
    <font>
      <sz val="10"/>
      <color rgb="FF008000"/>
      <name val="Arial"/>
      <family val="2"/>
    </font>
    <font>
      <b/>
      <sz val="12"/>
      <color rgb="FFFFFFFF"/>
      <name val="Arial"/>
      <family val="2"/>
    </font>
    <font>
      <sz val="9"/>
      <name val="Consolas"/>
      <family val="3"/>
    </font>
    <font>
      <b/>
      <sz val="16"/>
      <name val="Arial"/>
      <family val="2"/>
      <charset val="1"/>
    </font>
    <font>
      <b/>
      <i/>
      <sz val="14"/>
      <name val="Arial"/>
      <family val="2"/>
      <charset val="1"/>
    </font>
    <font>
      <b/>
      <i/>
      <sz val="12"/>
      <name val="Arial"/>
      <family val="2"/>
      <charset val="1"/>
    </font>
    <font>
      <b/>
      <sz val="10"/>
      <color theme="2" tint="-0.749992370372631"/>
      <name val="Arial"/>
      <family val="2"/>
      <charset val="1"/>
    </font>
    <font>
      <i/>
      <sz val="12"/>
      <name val="Arial"/>
      <family val="2"/>
      <charset val="1"/>
    </font>
    <font>
      <b/>
      <i/>
      <sz val="18"/>
      <name val="Arial"/>
      <family val="2"/>
      <charset val="1"/>
    </font>
    <font>
      <b/>
      <sz val="8"/>
      <name val="Arial"/>
      <family val="2"/>
      <charset val="1"/>
    </font>
    <font>
      <b/>
      <u/>
      <sz val="10"/>
      <name val="Arial"/>
      <family val="2"/>
      <charset val="1"/>
    </font>
    <font>
      <b/>
      <sz val="9"/>
      <color theme="2" tint="-0.749992370372631"/>
      <name val="Arial"/>
      <family val="2"/>
      <charset val="1"/>
    </font>
    <font>
      <b/>
      <sz val="8"/>
      <color theme="2" tint="-0.749992370372631"/>
      <name val="Arial"/>
      <family val="2"/>
      <charset val="1"/>
    </font>
    <font>
      <sz val="9"/>
      <color theme="2" tint="-0.749992370372631"/>
      <name val="Arial"/>
      <family val="2"/>
      <charset val="1"/>
    </font>
    <font>
      <sz val="9"/>
      <name val="Arial"/>
      <family val="2"/>
      <charset val="1"/>
    </font>
    <font>
      <b/>
      <sz val="11"/>
      <name val="Arial"/>
      <family val="2"/>
      <charset val="1"/>
    </font>
    <font>
      <b/>
      <sz val="12"/>
      <name val="Arial"/>
      <family val="2"/>
      <charset val="1"/>
    </font>
    <font>
      <i/>
      <sz val="7"/>
      <color rgb="FF666666"/>
      <name val="Arial"/>
      <family val="2"/>
    </font>
    <font>
      <sz val="9"/>
      <color rgb="FF0000FF"/>
      <name val="Arial"/>
      <family val="2"/>
    </font>
    <font>
      <b/>
      <sz val="9"/>
      <color rgb="FF333333"/>
      <name val="Arial"/>
      <family val="2"/>
    </font>
    <font>
      <b/>
      <sz val="9"/>
      <name val="Arial"/>
      <family val="2"/>
      <charset val="1"/>
    </font>
    <font>
      <sz val="16"/>
      <color theme="0"/>
      <name val="Arial"/>
      <family val="2"/>
      <charset val="1"/>
    </font>
    <font>
      <sz val="14"/>
      <name val="Arial"/>
      <family val="2"/>
      <charset val="1"/>
    </font>
    <font>
      <b/>
      <sz val="14"/>
      <name val="Arial"/>
      <family val="2"/>
      <charset val="1"/>
    </font>
    <font>
      <b/>
      <sz val="8"/>
      <color rgb="FFFFFFFF"/>
      <name val="Arial"/>
      <family val="2"/>
    </font>
    <font>
      <sz val="12"/>
      <name val="Arial"/>
      <family val="2"/>
      <charset val="1"/>
    </font>
    <font>
      <sz val="9"/>
      <name val="Arial"/>
      <family val="2"/>
    </font>
    <font>
      <sz val="12"/>
      <color rgb="FFFF0000"/>
      <name val="Calibri"/>
      <family val="2"/>
      <charset val="1"/>
    </font>
    <font>
      <i/>
      <sz val="10"/>
      <name val="Arial"/>
      <family val="2"/>
      <charset val="1"/>
    </font>
    <font>
      <b/>
      <sz val="14"/>
      <name val="Arial"/>
      <family val="2"/>
    </font>
    <font>
      <b/>
      <sz val="12"/>
      <name val="Arial"/>
      <family val="2"/>
    </font>
    <font>
      <b/>
      <sz val="11"/>
      <color theme="1"/>
      <name val="Calibri"/>
      <family val="2"/>
    </font>
  </fonts>
  <fills count="37">
    <fill>
      <patternFill patternType="none"/>
    </fill>
    <fill>
      <patternFill patternType="gray125"/>
    </fill>
    <fill>
      <patternFill patternType="solid">
        <fgColor rgb="FFFFFFFF"/>
        <bgColor rgb="FFF0FFF0"/>
      </patternFill>
    </fill>
    <fill>
      <patternFill patternType="solid">
        <fgColor theme="5" tint="0.79989013336588644"/>
        <bgColor rgb="FFFDEADA"/>
      </patternFill>
    </fill>
    <fill>
      <patternFill patternType="solid">
        <fgColor rgb="FFC9A84C"/>
        <bgColor rgb="FFF79646"/>
      </patternFill>
    </fill>
    <fill>
      <patternFill patternType="solid">
        <fgColor rgb="FFD6E4F0"/>
        <bgColor rgb="FFDCE6F2"/>
      </patternFill>
    </fill>
    <fill>
      <patternFill patternType="solid">
        <fgColor rgb="FFFFFF99"/>
        <bgColor rgb="FFFFFF66"/>
      </patternFill>
    </fill>
    <fill>
      <patternFill patternType="solid">
        <fgColor rgb="FF2E5090"/>
        <bgColor rgb="FF4A6FA5"/>
      </patternFill>
    </fill>
    <fill>
      <patternFill patternType="solid">
        <fgColor rgb="FF1B2A4A"/>
        <bgColor rgb="FF333333"/>
      </patternFill>
    </fill>
    <fill>
      <patternFill patternType="solid">
        <fgColor rgb="FFF0FFF0"/>
        <bgColor rgb="FFF5F5F5"/>
      </patternFill>
    </fill>
    <fill>
      <patternFill patternType="solid">
        <fgColor rgb="FF2E8B57"/>
        <bgColor rgb="FF008080"/>
      </patternFill>
    </fill>
    <fill>
      <patternFill patternType="solid">
        <fgColor theme="4" tint="0.39988402966399123"/>
        <bgColor rgb="FF8EB4E3"/>
      </patternFill>
    </fill>
    <fill>
      <patternFill patternType="solid">
        <fgColor theme="4" tint="0.59987182226020086"/>
        <bgColor rgb="FFD9D9D9"/>
      </patternFill>
    </fill>
    <fill>
      <patternFill patternType="solid">
        <fgColor rgb="FFCCFFFF"/>
        <bgColor rgb="FFE8F5E9"/>
      </patternFill>
    </fill>
    <fill>
      <patternFill patternType="solid">
        <fgColor theme="9" tint="0.59987182226020086"/>
        <bgColor rgb="FFF2DCDB"/>
      </patternFill>
    </fill>
    <fill>
      <patternFill patternType="solid">
        <fgColor theme="3" tint="0.59987182226020086"/>
        <bgColor rgb="FF95B3D7"/>
      </patternFill>
    </fill>
    <fill>
      <patternFill patternType="solid">
        <fgColor rgb="FF4A6FA5"/>
        <bgColor rgb="FF666666"/>
      </patternFill>
    </fill>
    <fill>
      <patternFill patternType="solid">
        <fgColor rgb="FF8B4513"/>
        <bgColor rgb="FFC0392B"/>
      </patternFill>
    </fill>
    <fill>
      <patternFill patternType="solid">
        <fgColor rgb="FF6B2D8B"/>
        <bgColor rgb="FF6A1B9A"/>
      </patternFill>
    </fill>
    <fill>
      <patternFill patternType="solid">
        <fgColor rgb="FF8B0000"/>
        <bgColor rgb="FFCC0000"/>
      </patternFill>
    </fill>
    <fill>
      <patternFill patternType="solid">
        <fgColor rgb="FFF5F5F5"/>
        <bgColor rgb="FFF2F2F2"/>
      </patternFill>
    </fill>
    <fill>
      <patternFill patternType="solid">
        <fgColor rgb="FFFFF0F0"/>
        <bgColor rgb="FFF5F5F5"/>
      </patternFill>
    </fill>
    <fill>
      <patternFill patternType="solid">
        <fgColor rgb="FF006400"/>
        <bgColor rgb="FF008000"/>
      </patternFill>
    </fill>
    <fill>
      <patternFill patternType="solid">
        <fgColor rgb="FFE8F5E9"/>
        <bgColor rgb="FFF2F2F2"/>
      </patternFill>
    </fill>
    <fill>
      <patternFill patternType="solid">
        <fgColor rgb="FFF2F2F2"/>
        <bgColor rgb="FFF5F5F5"/>
      </patternFill>
    </fill>
    <fill>
      <patternFill patternType="solid">
        <fgColor theme="4" tint="0.79989013336588644"/>
        <bgColor rgb="FFD6E4F0"/>
      </patternFill>
    </fill>
    <fill>
      <patternFill patternType="solid">
        <fgColor theme="8"/>
        <bgColor rgb="FF8EB4E3"/>
      </patternFill>
    </fill>
    <fill>
      <patternFill patternType="solid">
        <fgColor theme="0" tint="-0.34998626667073579"/>
        <bgColor rgb="FFB0B0B0"/>
      </patternFill>
    </fill>
    <fill>
      <patternFill patternType="solid">
        <fgColor rgb="FF6A1B9A"/>
        <bgColor rgb="FF6B2D8B"/>
      </patternFill>
    </fill>
    <fill>
      <patternFill patternType="solid">
        <fgColor theme="9" tint="0.79989013336588644"/>
        <bgColor rgb="FFFFF0F0"/>
      </patternFill>
    </fill>
    <fill>
      <patternFill patternType="solid">
        <fgColor rgb="FFE67E22"/>
        <bgColor rgb="FFFF8C00"/>
      </patternFill>
    </fill>
    <fill>
      <patternFill patternType="solid">
        <fgColor rgb="FFC0392B"/>
        <bgColor rgb="FF8B4513"/>
      </patternFill>
    </fill>
    <fill>
      <patternFill patternType="solid">
        <fgColor rgb="FFFFFF66"/>
        <bgColor rgb="FFFFFF99"/>
      </patternFill>
    </fill>
    <fill>
      <patternFill patternType="solid">
        <fgColor rgb="FFFFFFCC"/>
        <bgColor rgb="FFF0FFF0"/>
      </patternFill>
    </fill>
    <fill>
      <patternFill patternType="solid">
        <fgColor theme="3" tint="0.79998168889431442"/>
        <bgColor rgb="FFFFFF66"/>
      </patternFill>
    </fill>
    <fill>
      <patternFill patternType="solid">
        <fgColor theme="3" tint="0.79998168889431442"/>
        <bgColor indexed="64"/>
      </patternFill>
    </fill>
    <fill>
      <patternFill patternType="solid">
        <fgColor theme="6" tint="0.79998168889431442"/>
        <bgColor indexed="64"/>
      </patternFill>
    </fill>
  </fills>
  <borders count="70">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style="thick">
        <color auto="1"/>
      </top>
      <bottom style="hair">
        <color auto="1"/>
      </bottom>
      <diagonal/>
    </border>
    <border>
      <left/>
      <right/>
      <top/>
      <bottom style="hair">
        <color auto="1"/>
      </bottom>
      <diagonal/>
    </border>
    <border>
      <left style="medium">
        <color auto="1"/>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D9D9D9"/>
      </left>
      <right style="thin">
        <color rgb="FFD9D9D9"/>
      </right>
      <top style="thin">
        <color rgb="FFD9D9D9"/>
      </top>
      <bottom style="thin">
        <color rgb="FFD9D9D9"/>
      </bottom>
      <diagonal/>
    </border>
    <border>
      <left style="thin">
        <color rgb="FFB0B0B0"/>
      </left>
      <right style="thin">
        <color rgb="FFB0B0B0"/>
      </right>
      <top style="thin">
        <color rgb="FFB0B0B0"/>
      </top>
      <bottom style="thin">
        <color rgb="FFB0B0B0"/>
      </bottom>
      <diagonal/>
    </border>
    <border>
      <left style="thick">
        <color theme="0"/>
      </left>
      <right style="thick">
        <color theme="0"/>
      </right>
      <top style="thick">
        <color theme="0"/>
      </top>
      <bottom/>
      <diagonal/>
    </border>
    <border>
      <left style="thick">
        <color theme="0"/>
      </left>
      <right style="thick">
        <color theme="0"/>
      </right>
      <top style="thick">
        <color theme="0"/>
      </top>
      <bottom style="thick">
        <color theme="0"/>
      </bottom>
      <diagonal/>
    </border>
    <border>
      <left style="thick">
        <color auto="1"/>
      </left>
      <right/>
      <top/>
      <bottom style="medium">
        <color auto="1"/>
      </bottom>
      <diagonal/>
    </border>
    <border>
      <left/>
      <right/>
      <top/>
      <bottom style="medium">
        <color auto="1"/>
      </bottom>
      <diagonal/>
    </border>
    <border>
      <left style="thick">
        <color auto="1"/>
      </left>
      <right/>
      <top style="medium">
        <color auto="1"/>
      </top>
      <bottom style="medium">
        <color auto="1"/>
      </bottom>
      <diagonal/>
    </border>
    <border>
      <left/>
      <right/>
      <top style="medium">
        <color auto="1"/>
      </top>
      <bottom style="medium">
        <color auto="1"/>
      </bottom>
      <diagonal/>
    </border>
    <border>
      <left style="thick">
        <color auto="1"/>
      </left>
      <right/>
      <top style="medium">
        <color auto="1"/>
      </top>
      <bottom style="thick">
        <color auto="1"/>
      </bottom>
      <diagonal/>
    </border>
    <border>
      <left/>
      <right style="medium">
        <color auto="1"/>
      </right>
      <top style="medium">
        <color auto="1"/>
      </top>
      <bottom style="thick">
        <color auto="1"/>
      </bottom>
      <diagonal/>
    </border>
    <border>
      <left/>
      <right/>
      <top style="hair">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hair">
        <color auto="1"/>
      </bottom>
      <diagonal/>
    </border>
    <border>
      <left style="thick">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right style="thick">
        <color auto="1"/>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thick">
        <color auto="1"/>
      </right>
      <top style="hair">
        <color auto="1"/>
      </top>
      <bottom/>
      <diagonal/>
    </border>
    <border>
      <left style="thick">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thick">
        <color auto="1"/>
      </left>
      <right style="thick">
        <color auto="1"/>
      </right>
      <top style="thick">
        <color auto="1"/>
      </top>
      <bottom/>
      <diagonal/>
    </border>
    <border>
      <left style="thick">
        <color auto="1"/>
      </left>
      <right style="medium">
        <color auto="1"/>
      </right>
      <top style="medium">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medium">
        <color auto="1"/>
      </top>
      <bottom style="medium">
        <color auto="1"/>
      </bottom>
      <diagonal/>
    </border>
    <border>
      <left style="thin">
        <color rgb="FFB0B0B0"/>
      </left>
      <right/>
      <top style="thin">
        <color rgb="FFB0B0B0"/>
      </top>
      <bottom style="thin">
        <color rgb="FFB0B0B0"/>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diagonal/>
    </border>
    <border>
      <left/>
      <right style="thin">
        <color auto="1"/>
      </right>
      <top style="thick">
        <color auto="1"/>
      </top>
      <bottom/>
      <diagonal/>
    </border>
    <border>
      <left style="thin">
        <color auto="1"/>
      </left>
      <right style="thick">
        <color auto="1"/>
      </right>
      <top style="thick">
        <color auto="1"/>
      </top>
      <bottom/>
      <diagonal/>
    </border>
    <border>
      <left style="thin">
        <color auto="1"/>
      </left>
      <right style="thin">
        <color auto="1"/>
      </right>
      <top style="thick">
        <color auto="1"/>
      </top>
      <bottom style="thick">
        <color auto="1"/>
      </bottom>
      <diagonal/>
    </border>
    <border>
      <left/>
      <right style="thin">
        <color auto="1"/>
      </right>
      <top style="thick">
        <color auto="1"/>
      </top>
      <bottom style="thick">
        <color auto="1"/>
      </bottom>
      <diagonal/>
    </border>
    <border>
      <left style="medium">
        <color auto="1"/>
      </left>
      <right/>
      <top style="medium">
        <color auto="1"/>
      </top>
      <bottom style="medium">
        <color auto="1"/>
      </bottom>
      <diagonal/>
    </border>
    <border>
      <left style="thick">
        <color auto="1"/>
      </left>
      <right style="dotted">
        <color auto="1"/>
      </right>
      <top style="thick">
        <color auto="1"/>
      </top>
      <bottom style="thick">
        <color auto="1"/>
      </bottom>
      <diagonal/>
    </border>
    <border>
      <left style="dotted">
        <color auto="1"/>
      </left>
      <right/>
      <top style="thick">
        <color auto="1"/>
      </top>
      <bottom style="thick">
        <color auto="1"/>
      </bottom>
      <diagonal/>
    </border>
    <border>
      <left style="dotted">
        <color auto="1"/>
      </left>
      <right style="dotted">
        <color auto="1"/>
      </right>
      <top style="thick">
        <color auto="1"/>
      </top>
      <bottom style="thick">
        <color auto="1"/>
      </bottom>
      <diagonal/>
    </border>
    <border>
      <left style="dotted">
        <color auto="1"/>
      </left>
      <right style="thick">
        <color auto="1"/>
      </right>
      <top style="thick">
        <color auto="1"/>
      </top>
      <bottom style="thick">
        <color auto="1"/>
      </bottom>
      <diagonal/>
    </border>
    <border>
      <left style="thick">
        <color auto="1"/>
      </left>
      <right style="thick">
        <color auto="1"/>
      </right>
      <top style="thick">
        <color auto="1"/>
      </top>
      <bottom style="medium">
        <color auto="1"/>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top/>
      <bottom style="medium">
        <color auto="1"/>
      </bottom>
      <diagonal/>
    </border>
    <border>
      <left/>
      <right/>
      <top style="thin">
        <color theme="9"/>
      </top>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s>
  <cellStyleXfs count="1">
    <xf numFmtId="0" fontId="0" fillId="0" borderId="0"/>
  </cellStyleXfs>
  <cellXfs count="447">
    <xf numFmtId="0" fontId="0" fillId="0" borderId="0" xfId="0"/>
    <xf numFmtId="0" fontId="23" fillId="0" borderId="12" xfId="0" applyFont="1" applyBorder="1" applyAlignment="1">
      <alignment horizontal="left" vertical="center" wrapText="1"/>
    </xf>
    <xf numFmtId="0" fontId="13" fillId="0" borderId="0" xfId="0" applyFont="1"/>
    <xf numFmtId="0" fontId="7" fillId="8" borderId="0" xfId="0" applyFont="1" applyFill="1" applyAlignment="1">
      <alignment horizontal="center" vertical="center" wrapText="1"/>
    </xf>
    <xf numFmtId="0" fontId="16" fillId="8" borderId="13" xfId="0" applyFont="1" applyFill="1" applyBorder="1" applyAlignment="1">
      <alignment horizontal="center" vertical="center"/>
    </xf>
    <xf numFmtId="0" fontId="9" fillId="5" borderId="0" xfId="0" applyFont="1" applyFill="1" applyAlignment="1">
      <alignment horizontal="left" vertical="center" wrapText="1"/>
    </xf>
    <xf numFmtId="165" fontId="4" fillId="0" borderId="8" xfId="0" applyNumberFormat="1" applyFont="1" applyBorder="1" applyAlignment="1">
      <alignment horizontal="center"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0" xfId="0" applyFont="1" applyFill="1" applyAlignment="1">
      <alignment vertical="center"/>
    </xf>
    <xf numFmtId="0" fontId="1" fillId="0" borderId="0" xfId="0" applyFont="1"/>
    <xf numFmtId="0" fontId="1" fillId="2" borderId="5" xfId="0"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3" fillId="3" borderId="0" xfId="0" applyFont="1" applyFill="1" applyAlignment="1">
      <alignment horizontal="left" vertical="center"/>
    </xf>
    <xf numFmtId="0" fontId="1" fillId="3" borderId="0" xfId="0" applyFont="1" applyFill="1" applyAlignment="1">
      <alignment vertical="center"/>
    </xf>
    <xf numFmtId="0" fontId="3" fillId="3" borderId="0" xfId="0" applyFont="1" applyFill="1" applyAlignment="1">
      <alignment vertical="center"/>
    </xf>
    <xf numFmtId="0" fontId="3" fillId="2" borderId="0" xfId="0" applyFont="1" applyFill="1" applyAlignment="1">
      <alignment vertical="center"/>
    </xf>
    <xf numFmtId="164" fontId="4" fillId="0" borderId="8" xfId="0" applyNumberFormat="1" applyFont="1" applyBorder="1" applyAlignment="1">
      <alignment horizontal="center" vertical="center"/>
    </xf>
    <xf numFmtId="0" fontId="1" fillId="0" borderId="0" xfId="0" applyFont="1" applyAlignment="1">
      <alignment vertical="center"/>
    </xf>
    <xf numFmtId="0" fontId="1" fillId="0" borderId="4" xfId="0" applyFont="1" applyBorder="1" applyAlignment="1">
      <alignment vertical="center"/>
    </xf>
    <xf numFmtId="0" fontId="3" fillId="0" borderId="0" xfId="0" applyFont="1" applyAlignment="1">
      <alignment vertical="center"/>
    </xf>
    <xf numFmtId="0" fontId="4" fillId="0" borderId="8" xfId="0" applyFont="1" applyBorder="1" applyAlignment="1">
      <alignment horizontal="center" vertical="center"/>
    </xf>
    <xf numFmtId="0" fontId="5" fillId="2" borderId="0" xfId="0" applyFont="1" applyFill="1" applyAlignment="1">
      <alignment vertical="center"/>
    </xf>
    <xf numFmtId="0" fontId="4" fillId="0" borderId="0" xfId="0" applyFont="1" applyAlignment="1">
      <alignment vertical="center"/>
    </xf>
    <xf numFmtId="165" fontId="4" fillId="2" borderId="0" xfId="0" applyNumberFormat="1" applyFont="1" applyFill="1" applyAlignment="1">
      <alignment horizontal="center" vertical="center"/>
    </xf>
    <xf numFmtId="0" fontId="4" fillId="0" borderId="8" xfId="0" applyFont="1" applyBorder="1" applyAlignment="1">
      <alignment wrapText="1"/>
    </xf>
    <xf numFmtId="0" fontId="4" fillId="2" borderId="0" xfId="0" applyFont="1" applyFill="1" applyAlignment="1">
      <alignment horizontal="center" vertical="center"/>
    </xf>
    <xf numFmtId="0" fontId="4" fillId="0" borderId="8" xfId="0" applyFont="1" applyBorder="1"/>
    <xf numFmtId="165" fontId="4" fillId="0" borderId="0" xfId="0" applyNumberFormat="1" applyFont="1" applyAlignment="1">
      <alignment horizontal="right" vertical="center"/>
    </xf>
    <xf numFmtId="0" fontId="6" fillId="0" borderId="0" xfId="0" applyFont="1" applyAlignment="1">
      <alignment horizontal="left" vertical="center"/>
    </xf>
    <xf numFmtId="0" fontId="6" fillId="0" borderId="0" xfId="0" applyFont="1" applyAlignment="1">
      <alignment horizontal="right" vertical="center"/>
    </xf>
    <xf numFmtId="0" fontId="1" fillId="0" borderId="0" xfId="0" applyFont="1" applyAlignment="1">
      <alignment horizontal="center" vertical="center"/>
    </xf>
    <xf numFmtId="0" fontId="1" fillId="2" borderId="9" xfId="0" applyFont="1" applyFill="1" applyBorder="1" applyAlignment="1">
      <alignment vertical="center"/>
    </xf>
    <xf numFmtId="0" fontId="1" fillId="2" borderId="10" xfId="0" applyFont="1" applyFill="1" applyBorder="1" applyAlignment="1">
      <alignment vertical="center"/>
    </xf>
    <xf numFmtId="0" fontId="6" fillId="2" borderId="10" xfId="0" applyFont="1" applyFill="1" applyBorder="1" applyAlignment="1">
      <alignment horizontal="right" vertical="center"/>
    </xf>
    <xf numFmtId="0" fontId="1" fillId="2" borderId="11" xfId="0" applyFont="1" applyFill="1" applyBorder="1" applyAlignment="1">
      <alignment vertical="center"/>
    </xf>
    <xf numFmtId="0" fontId="10" fillId="4" borderId="12" xfId="0" applyFont="1" applyFill="1" applyBorder="1" applyAlignment="1">
      <alignment horizontal="center" vertical="center" wrapText="1"/>
    </xf>
    <xf numFmtId="0" fontId="11" fillId="0" borderId="12" xfId="0" applyFont="1" applyBorder="1" applyAlignment="1">
      <alignment horizontal="left" vertical="center" wrapText="1"/>
    </xf>
    <xf numFmtId="0" fontId="12" fillId="6" borderId="12" xfId="0" applyFont="1" applyFill="1" applyBorder="1" applyAlignment="1">
      <alignment horizontal="center" vertical="center" wrapText="1"/>
    </xf>
    <xf numFmtId="166" fontId="13" fillId="0" borderId="12" xfId="0" applyNumberFormat="1" applyFont="1" applyBorder="1" applyAlignment="1">
      <alignment horizontal="center" vertical="center" wrapText="1"/>
    </xf>
    <xf numFmtId="0" fontId="13" fillId="0" borderId="12" xfId="0" applyFont="1" applyBorder="1" applyAlignment="1">
      <alignment horizontal="center" vertical="center" wrapText="1"/>
    </xf>
    <xf numFmtId="0" fontId="8" fillId="0" borderId="12" xfId="0" applyFont="1" applyBorder="1" applyAlignment="1">
      <alignment horizontal="left" vertical="center" wrapText="1"/>
    </xf>
    <xf numFmtId="0" fontId="10" fillId="7" borderId="12" xfId="0" applyFont="1" applyFill="1" applyBorder="1" applyAlignment="1">
      <alignment horizontal="center" vertical="center" wrapText="1"/>
    </xf>
    <xf numFmtId="0" fontId="14" fillId="0" borderId="12" xfId="0" applyFont="1" applyBorder="1" applyAlignment="1">
      <alignment horizontal="center" vertical="center" wrapText="1"/>
    </xf>
    <xf numFmtId="2" fontId="15" fillId="6" borderId="12" xfId="0" applyNumberFormat="1" applyFont="1" applyFill="1" applyBorder="1" applyAlignment="1">
      <alignment horizontal="center" vertical="center" wrapText="1"/>
    </xf>
    <xf numFmtId="167" fontId="15" fillId="6" borderId="12" xfId="0" applyNumberFormat="1" applyFont="1" applyFill="1" applyBorder="1" applyAlignment="1">
      <alignment horizontal="center" vertical="center" wrapText="1"/>
    </xf>
    <xf numFmtId="168" fontId="15" fillId="6" borderId="12" xfId="0" applyNumberFormat="1" applyFont="1" applyFill="1" applyBorder="1" applyAlignment="1">
      <alignment horizontal="center" vertical="center" wrapText="1"/>
    </xf>
    <xf numFmtId="0" fontId="15" fillId="0" borderId="13" xfId="0" applyFont="1" applyBorder="1" applyAlignment="1">
      <alignment horizontal="left" vertical="center"/>
    </xf>
    <xf numFmtId="0" fontId="15" fillId="0" borderId="13" xfId="0" applyFont="1" applyBorder="1" applyAlignment="1">
      <alignment horizontal="center" vertical="center"/>
    </xf>
    <xf numFmtId="0" fontId="17" fillId="7" borderId="13" xfId="0" applyFont="1" applyFill="1" applyBorder="1" applyAlignment="1">
      <alignment horizontal="center" vertical="center" wrapText="1"/>
    </xf>
    <xf numFmtId="0" fontId="18" fillId="0" borderId="13" xfId="0" applyFont="1" applyBorder="1" applyAlignment="1">
      <alignment horizontal="left" vertical="center"/>
    </xf>
    <xf numFmtId="0" fontId="19" fillId="0" borderId="13" xfId="0" applyFont="1" applyBorder="1" applyAlignment="1">
      <alignment horizontal="left" vertical="center" wrapText="1"/>
    </xf>
    <xf numFmtId="0" fontId="20" fillId="0" borderId="13" xfId="0" applyFont="1" applyBorder="1" applyAlignment="1">
      <alignment horizontal="left" vertical="center" wrapText="1"/>
    </xf>
    <xf numFmtId="167" fontId="21" fillId="9" borderId="13" xfId="0" applyNumberFormat="1" applyFont="1" applyFill="1" applyBorder="1" applyAlignment="1">
      <alignment horizontal="center" vertical="center" wrapText="1"/>
    </xf>
    <xf numFmtId="0" fontId="12" fillId="0" borderId="12" xfId="0" applyFont="1" applyBorder="1" applyAlignment="1">
      <alignment horizontal="center" vertical="center" wrapText="1"/>
    </xf>
    <xf numFmtId="2" fontId="12" fillId="0" borderId="12" xfId="0" applyNumberFormat="1" applyFont="1" applyBorder="1" applyAlignment="1">
      <alignment horizontal="center" vertical="center" wrapText="1"/>
    </xf>
    <xf numFmtId="0" fontId="11" fillId="0" borderId="0" xfId="0" applyFont="1"/>
    <xf numFmtId="169" fontId="12" fillId="0" borderId="12" xfId="0" applyNumberFormat="1" applyFont="1" applyBorder="1" applyAlignment="1">
      <alignment horizontal="center" vertical="center" wrapText="1"/>
    </xf>
    <xf numFmtId="2" fontId="23" fillId="0" borderId="12"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8" fontId="24" fillId="0" borderId="12" xfId="0" applyNumberFormat="1" applyFont="1" applyBorder="1" applyAlignment="1">
      <alignment horizontal="center" vertical="center" wrapText="1"/>
    </xf>
    <xf numFmtId="0" fontId="10" fillId="10" borderId="12" xfId="0" applyFont="1" applyFill="1" applyBorder="1" applyAlignment="1">
      <alignment horizontal="center" vertical="center" wrapText="1"/>
    </xf>
    <xf numFmtId="2" fontId="25" fillId="10" borderId="12" xfId="0" applyNumberFormat="1" applyFont="1" applyFill="1" applyBorder="1" applyAlignment="1">
      <alignment horizontal="center" vertical="center" wrapText="1"/>
    </xf>
    <xf numFmtId="2" fontId="25" fillId="7" borderId="12" xfId="0" applyNumberFormat="1" applyFont="1" applyFill="1" applyBorder="1" applyAlignment="1">
      <alignment horizontal="center" vertical="center" wrapText="1"/>
    </xf>
    <xf numFmtId="168" fontId="23" fillId="0" borderId="12" xfId="0" applyNumberFormat="1" applyFont="1" applyBorder="1" applyAlignment="1">
      <alignment horizontal="center" vertical="center" wrapText="1"/>
    </xf>
    <xf numFmtId="0" fontId="11" fillId="0" borderId="12" xfId="0" applyFont="1" applyBorder="1" applyAlignment="1">
      <alignment horizontal="center" vertical="center" wrapText="1"/>
    </xf>
    <xf numFmtId="166" fontId="23" fillId="0" borderId="12" xfId="0" applyNumberFormat="1" applyFont="1" applyBorder="1" applyAlignment="1">
      <alignment horizontal="center" vertical="center" wrapText="1"/>
    </xf>
    <xf numFmtId="0" fontId="16" fillId="10" borderId="12" xfId="0" applyFont="1" applyFill="1" applyBorder="1" applyAlignment="1">
      <alignment horizontal="center" vertical="center" wrapText="1"/>
    </xf>
    <xf numFmtId="166" fontId="16" fillId="10" borderId="12" xfId="0" applyNumberFormat="1" applyFont="1" applyFill="1" applyBorder="1" applyAlignment="1">
      <alignment horizontal="center" vertical="center" wrapText="1"/>
    </xf>
    <xf numFmtId="168" fontId="12" fillId="6" borderId="12" xfId="0" applyNumberFormat="1" applyFont="1" applyFill="1" applyBorder="1" applyAlignment="1">
      <alignment horizontal="center" vertical="center" wrapText="1"/>
    </xf>
    <xf numFmtId="0" fontId="25" fillId="10" borderId="12" xfId="0" applyFont="1" applyFill="1" applyBorder="1" applyAlignment="1">
      <alignment horizontal="center" vertical="center" wrapText="1"/>
    </xf>
    <xf numFmtId="2" fontId="7" fillId="10" borderId="12" xfId="0" applyNumberFormat="1" applyFont="1" applyFill="1" applyBorder="1" applyAlignment="1">
      <alignment horizontal="center" vertical="center" wrapText="1"/>
    </xf>
    <xf numFmtId="0" fontId="26" fillId="0" borderId="12" xfId="0" applyFont="1" applyBorder="1" applyAlignment="1">
      <alignment horizontal="left" vertical="center" wrapText="1"/>
    </xf>
    <xf numFmtId="167" fontId="23" fillId="0" borderId="12" xfId="0" applyNumberFormat="1" applyFont="1" applyBorder="1" applyAlignment="1">
      <alignment horizontal="center" vertical="center" wrapText="1"/>
    </xf>
    <xf numFmtId="0" fontId="16" fillId="7" borderId="12" xfId="0" applyFont="1" applyFill="1" applyBorder="1" applyAlignment="1">
      <alignment horizontal="center" vertical="center" wrapText="1"/>
    </xf>
    <xf numFmtId="166" fontId="16" fillId="7" borderId="12" xfId="0" applyNumberFormat="1" applyFont="1" applyFill="1" applyBorder="1" applyAlignment="1">
      <alignment horizontal="center" vertical="center" wrapText="1"/>
    </xf>
    <xf numFmtId="168" fontId="23" fillId="7" borderId="12" xfId="0" applyNumberFormat="1" applyFont="1" applyFill="1" applyBorder="1" applyAlignment="1">
      <alignment horizontal="center" vertical="center" wrapText="1"/>
    </xf>
    <xf numFmtId="0" fontId="25" fillId="7" borderId="12" xfId="0" applyFont="1" applyFill="1" applyBorder="1" applyAlignment="1">
      <alignment horizontal="center" vertical="center" wrapText="1"/>
    </xf>
    <xf numFmtId="2" fontId="7" fillId="7" borderId="12" xfId="0" applyNumberFormat="1" applyFont="1" applyFill="1" applyBorder="1" applyAlignment="1">
      <alignment horizontal="center" vertical="center" wrapText="1"/>
    </xf>
    <xf numFmtId="2" fontId="24" fillId="0" borderId="0" xfId="0" applyNumberFormat="1" applyFont="1"/>
    <xf numFmtId="2" fontId="23" fillId="0" borderId="0" xfId="0" applyNumberFormat="1" applyFont="1"/>
    <xf numFmtId="0" fontId="23" fillId="0" borderId="0" xfId="0" applyFont="1"/>
    <xf numFmtId="0" fontId="1" fillId="11" borderId="0" xfId="0" applyFont="1" applyFill="1" applyAlignment="1">
      <alignment vertical="center"/>
    </xf>
    <xf numFmtId="0" fontId="27" fillId="2" borderId="0" xfId="0" applyFont="1" applyFill="1" applyAlignment="1">
      <alignment vertical="center"/>
    </xf>
    <xf numFmtId="0" fontId="2" fillId="2" borderId="1" xfId="0" applyFont="1" applyFill="1" applyBorder="1" applyAlignment="1">
      <alignment vertical="center"/>
    </xf>
    <xf numFmtId="0" fontId="28" fillId="11" borderId="0" xfId="0" applyFont="1" applyFill="1" applyAlignment="1">
      <alignment vertical="center"/>
    </xf>
    <xf numFmtId="0" fontId="29" fillId="2" borderId="0" xfId="0" applyFont="1" applyFill="1" applyAlignment="1">
      <alignment vertical="center"/>
    </xf>
    <xf numFmtId="0" fontId="4" fillId="0" borderId="0" xfId="0" applyFont="1" applyAlignment="1">
      <alignment vertical="center" wrapText="1"/>
    </xf>
    <xf numFmtId="0" fontId="30" fillId="12" borderId="1" xfId="0" applyFont="1" applyFill="1" applyBorder="1" applyAlignment="1">
      <alignment vertical="center" wrapText="1"/>
    </xf>
    <xf numFmtId="0" fontId="30" fillId="12" borderId="14" xfId="0" applyFont="1" applyFill="1" applyBorder="1" applyAlignment="1">
      <alignment horizontal="left" textRotation="60" wrapText="1"/>
    </xf>
    <xf numFmtId="0" fontId="30" fillId="12" borderId="15" xfId="0" applyFont="1" applyFill="1" applyBorder="1" applyAlignment="1">
      <alignment horizontal="left" textRotation="60" wrapText="1"/>
    </xf>
    <xf numFmtId="0" fontId="30" fillId="12" borderId="2" xfId="0" applyFont="1" applyFill="1" applyBorder="1" applyAlignment="1">
      <alignment horizontal="left" wrapText="1" indent="3"/>
    </xf>
    <xf numFmtId="0" fontId="4" fillId="13" borderId="16" xfId="0" applyFont="1" applyFill="1" applyBorder="1" applyAlignment="1">
      <alignment vertical="center" wrapText="1"/>
    </xf>
    <xf numFmtId="0" fontId="13" fillId="13" borderId="15" xfId="0" applyFont="1" applyFill="1" applyBorder="1" applyAlignment="1">
      <alignment horizontal="center" vertical="center"/>
    </xf>
    <xf numFmtId="0" fontId="4" fillId="2" borderId="17" xfId="0" applyFont="1" applyFill="1" applyBorder="1" applyAlignment="1">
      <alignment vertical="center" wrapText="1"/>
    </xf>
    <xf numFmtId="0" fontId="4" fillId="2" borderId="18" xfId="0" applyFont="1" applyFill="1" applyBorder="1" applyAlignment="1">
      <alignment vertical="center" wrapText="1"/>
    </xf>
    <xf numFmtId="0" fontId="4" fillId="2" borderId="19" xfId="0" applyFont="1" applyFill="1" applyBorder="1" applyAlignment="1">
      <alignment vertical="center" wrapText="1"/>
    </xf>
    <xf numFmtId="0" fontId="31" fillId="2" borderId="20" xfId="0" applyFont="1" applyFill="1" applyBorder="1" applyAlignment="1">
      <alignment vertical="center"/>
    </xf>
    <xf numFmtId="0" fontId="31" fillId="2" borderId="15" xfId="0" applyFont="1" applyFill="1" applyBorder="1" applyAlignment="1">
      <alignment vertical="center"/>
    </xf>
    <xf numFmtId="0" fontId="1" fillId="2" borderId="21" xfId="0" applyFont="1" applyFill="1" applyBorder="1" applyAlignment="1">
      <alignment vertical="center"/>
    </xf>
    <xf numFmtId="0" fontId="1" fillId="2" borderId="22" xfId="0" applyFont="1" applyFill="1" applyBorder="1" applyAlignment="1">
      <alignment vertical="center" wrapText="1"/>
    </xf>
    <xf numFmtId="0" fontId="1" fillId="12" borderId="0" xfId="0" applyFont="1" applyFill="1" applyAlignment="1">
      <alignment vertical="center"/>
    </xf>
    <xf numFmtId="0" fontId="32" fillId="2" borderId="5" xfId="0" applyFont="1" applyFill="1" applyBorder="1" applyAlignment="1">
      <alignment vertical="center"/>
    </xf>
    <xf numFmtId="0" fontId="28" fillId="12" borderId="0" xfId="0" applyFont="1" applyFill="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3" fillId="2" borderId="0" xfId="0" applyFont="1" applyFill="1" applyAlignment="1">
      <alignment horizontal="center" vertical="center"/>
    </xf>
    <xf numFmtId="0" fontId="33" fillId="2" borderId="0" xfId="0" applyFont="1" applyFill="1" applyAlignment="1">
      <alignment horizontal="center" vertical="center" wrapText="1"/>
    </xf>
    <xf numFmtId="0" fontId="33" fillId="0" borderId="0" xfId="0" applyFont="1" applyAlignment="1">
      <alignment horizontal="center" vertical="center"/>
    </xf>
    <xf numFmtId="0" fontId="33" fillId="0" borderId="1" xfId="0" applyFont="1" applyBorder="1" applyAlignment="1">
      <alignment horizontal="center" vertical="center"/>
    </xf>
    <xf numFmtId="9" fontId="1" fillId="0" borderId="2" xfId="0" applyNumberFormat="1" applyFont="1" applyBorder="1" applyAlignment="1">
      <alignment horizontal="center" vertical="center"/>
    </xf>
    <xf numFmtId="166" fontId="1" fillId="2" borderId="3" xfId="0" applyNumberFormat="1" applyFont="1" applyFill="1" applyBorder="1" applyAlignment="1">
      <alignment horizontal="center" vertical="center"/>
    </xf>
    <xf numFmtId="170" fontId="1" fillId="14" borderId="23" xfId="0" applyNumberFormat="1" applyFont="1" applyFill="1" applyBorder="1" applyAlignment="1">
      <alignment horizontal="center" vertical="center" wrapText="1"/>
    </xf>
    <xf numFmtId="4" fontId="1" fillId="0" borderId="24" xfId="0" applyNumberFormat="1" applyFont="1" applyBorder="1" applyAlignment="1">
      <alignment horizontal="center" vertical="center" wrapText="1"/>
    </xf>
    <xf numFmtId="171" fontId="1" fillId="0" borderId="25" xfId="0" applyNumberFormat="1" applyFont="1" applyBorder="1" applyAlignment="1">
      <alignment horizontal="center" vertical="center" wrapText="1"/>
    </xf>
    <xf numFmtId="172" fontId="1" fillId="0" borderId="26" xfId="0" applyNumberFormat="1" applyFont="1" applyBorder="1" applyAlignment="1">
      <alignment horizontal="center" vertical="center" wrapText="1"/>
    </xf>
    <xf numFmtId="0" fontId="33" fillId="0" borderId="4" xfId="0" applyFont="1" applyBorder="1" applyAlignment="1">
      <alignment horizontal="center" vertical="center"/>
    </xf>
    <xf numFmtId="9" fontId="1" fillId="0" borderId="0" xfId="0" applyNumberFormat="1" applyFont="1" applyAlignment="1">
      <alignment horizontal="center" vertical="center"/>
    </xf>
    <xf numFmtId="166" fontId="1" fillId="2" borderId="5" xfId="0" applyNumberFormat="1" applyFont="1" applyFill="1" applyBorder="1" applyAlignment="1">
      <alignment horizontal="center" vertical="center"/>
    </xf>
    <xf numFmtId="173" fontId="1" fillId="0" borderId="2" xfId="0" applyNumberFormat="1" applyFont="1" applyBorder="1" applyAlignment="1">
      <alignment vertical="center"/>
    </xf>
    <xf numFmtId="170" fontId="1" fillId="2" borderId="0" xfId="0" applyNumberFormat="1" applyFont="1" applyFill="1" applyAlignment="1">
      <alignment horizontal="center" vertical="center"/>
    </xf>
    <xf numFmtId="0" fontId="1" fillId="0" borderId="0" xfId="0" applyFont="1" applyAlignment="1">
      <alignment vertical="center" wrapText="1"/>
    </xf>
    <xf numFmtId="0" fontId="33" fillId="0" borderId="9" xfId="0" applyFont="1" applyBorder="1" applyAlignment="1">
      <alignment horizontal="center" vertical="center"/>
    </xf>
    <xf numFmtId="9" fontId="1" fillId="0" borderId="10" xfId="0" applyNumberFormat="1" applyFont="1" applyBorder="1" applyAlignment="1">
      <alignment horizontal="center" vertical="center"/>
    </xf>
    <xf numFmtId="9" fontId="1" fillId="0" borderId="11" xfId="0" applyNumberFormat="1" applyFont="1" applyBorder="1" applyAlignment="1">
      <alignment horizontal="center" vertical="center"/>
    </xf>
    <xf numFmtId="170" fontId="1" fillId="0" borderId="0" xfId="0" applyNumberFormat="1" applyFont="1" applyAlignment="1">
      <alignment horizontal="right"/>
    </xf>
    <xf numFmtId="0" fontId="33" fillId="0" borderId="27" xfId="0" applyFont="1" applyBorder="1" applyAlignment="1">
      <alignment horizontal="left" vertical="center"/>
    </xf>
    <xf numFmtId="174" fontId="1" fillId="0" borderId="0" xfId="0" applyNumberFormat="1" applyFont="1" applyAlignment="1">
      <alignment horizontal="right"/>
    </xf>
    <xf numFmtId="166" fontId="1" fillId="2" borderId="0" xfId="0" applyNumberFormat="1" applyFont="1" applyFill="1" applyAlignment="1">
      <alignment horizontal="left"/>
    </xf>
    <xf numFmtId="9" fontId="1" fillId="0" borderId="0" xfId="0" applyNumberFormat="1" applyFont="1" applyAlignment="1">
      <alignment horizontal="left"/>
    </xf>
    <xf numFmtId="0" fontId="1" fillId="2" borderId="27" xfId="0" applyFont="1" applyFill="1" applyBorder="1" applyAlignment="1">
      <alignment horizontal="center" vertical="center" wrapText="1"/>
    </xf>
    <xf numFmtId="0" fontId="34" fillId="0" borderId="0" xfId="0" applyFont="1" applyAlignment="1">
      <alignment horizontal="center" vertical="center"/>
    </xf>
    <xf numFmtId="0" fontId="1" fillId="2" borderId="0" xfId="0" applyFont="1" applyFill="1" applyAlignment="1">
      <alignment horizontal="center" vertical="center" wrapText="1"/>
    </xf>
    <xf numFmtId="0" fontId="1" fillId="0" borderId="28" xfId="0" applyFont="1" applyBorder="1" applyAlignment="1">
      <alignment horizontal="center" vertical="center" wrapText="1"/>
    </xf>
    <xf numFmtId="0" fontId="1" fillId="0" borderId="0" xfId="0" applyFont="1" applyAlignment="1">
      <alignment horizontal="left" vertical="center" wrapText="1"/>
    </xf>
    <xf numFmtId="0" fontId="1" fillId="0" borderId="31" xfId="0" applyFont="1" applyBorder="1" applyAlignment="1">
      <alignment horizontal="center" vertical="center" wrapText="1"/>
    </xf>
    <xf numFmtId="0" fontId="1" fillId="0" borderId="34" xfId="0" applyFont="1" applyBorder="1" applyAlignment="1">
      <alignment horizontal="center" vertical="center" wrapText="1"/>
    </xf>
    <xf numFmtId="0" fontId="1" fillId="2" borderId="10" xfId="0" applyFont="1" applyFill="1" applyBorder="1" applyAlignment="1">
      <alignment horizontal="left" vertical="center" wrapText="1"/>
    </xf>
    <xf numFmtId="0" fontId="1" fillId="15" borderId="0" xfId="0" applyFont="1" applyFill="1" applyAlignment="1">
      <alignment vertical="center"/>
    </xf>
    <xf numFmtId="0" fontId="1" fillId="2" borderId="2" xfId="0" applyFont="1" applyFill="1" applyBorder="1" applyAlignment="1">
      <alignment horizontal="center" vertical="center"/>
    </xf>
    <xf numFmtId="0" fontId="27" fillId="2" borderId="10" xfId="0" applyFont="1" applyFill="1" applyBorder="1" applyAlignment="1">
      <alignment horizontal="left" vertical="center"/>
    </xf>
    <xf numFmtId="0" fontId="2" fillId="2" borderId="10" xfId="0" applyFont="1" applyFill="1" applyBorder="1" applyAlignment="1">
      <alignment horizontal="left" vertical="center"/>
    </xf>
    <xf numFmtId="0" fontId="2"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28" fillId="15" borderId="0" xfId="0" applyFont="1" applyFill="1" applyAlignment="1">
      <alignment vertical="center"/>
    </xf>
    <xf numFmtId="0" fontId="1" fillId="2" borderId="0" xfId="0" applyFont="1" applyFill="1" applyAlignment="1">
      <alignment horizontal="center" vertical="center"/>
    </xf>
    <xf numFmtId="0" fontId="37" fillId="12" borderId="37" xfId="0" applyFont="1" applyFill="1" applyBorder="1" applyAlignment="1">
      <alignment horizontal="center" vertical="center" wrapText="1"/>
    </xf>
    <xf numFmtId="0" fontId="37" fillId="12" borderId="26" xfId="0" applyFont="1" applyFill="1" applyBorder="1" applyAlignment="1">
      <alignment horizontal="center" vertical="center" wrapText="1"/>
    </xf>
    <xf numFmtId="0" fontId="1" fillId="15" borderId="0" xfId="0" applyFont="1" applyFill="1" applyAlignment="1">
      <alignment vertical="center" wrapText="1"/>
    </xf>
    <xf numFmtId="0" fontId="1" fillId="2" borderId="4" xfId="0" applyFont="1" applyFill="1" applyBorder="1" applyAlignment="1">
      <alignment vertical="center" wrapText="1"/>
    </xf>
    <xf numFmtId="0" fontId="1" fillId="2" borderId="38" xfId="0" applyFont="1" applyFill="1" applyBorder="1" applyAlignment="1">
      <alignment horizontal="center" vertical="center" wrapText="1"/>
    </xf>
    <xf numFmtId="0" fontId="1" fillId="2" borderId="8" xfId="0" applyFont="1" applyFill="1" applyBorder="1" applyAlignment="1">
      <alignment vertical="center" wrapText="1"/>
    </xf>
    <xf numFmtId="175" fontId="38" fillId="2" borderId="39" xfId="0" applyNumberFormat="1" applyFont="1" applyFill="1" applyBorder="1" applyAlignment="1">
      <alignment horizontal="center" vertical="center" wrapText="1"/>
    </xf>
    <xf numFmtId="0" fontId="39" fillId="2" borderId="39" xfId="0" applyFont="1" applyFill="1" applyBorder="1" applyAlignment="1">
      <alignment horizontal="center" vertical="center"/>
    </xf>
    <xf numFmtId="9" fontId="4" fillId="2" borderId="39" xfId="0" applyNumberFormat="1" applyFont="1" applyFill="1" applyBorder="1" applyAlignment="1">
      <alignment horizontal="center" vertical="top" wrapText="1"/>
    </xf>
    <xf numFmtId="0" fontId="39" fillId="2" borderId="8" xfId="0" applyFont="1" applyFill="1" applyBorder="1" applyAlignment="1">
      <alignment horizontal="center" vertical="center" wrapText="1"/>
    </xf>
    <xf numFmtId="0" fontId="1" fillId="2" borderId="40" xfId="0" applyFont="1" applyFill="1" applyBorder="1" applyAlignment="1">
      <alignment vertical="center" wrapText="1"/>
    </xf>
    <xf numFmtId="176" fontId="1" fillId="2" borderId="40" xfId="0" applyNumberFormat="1" applyFont="1" applyFill="1" applyBorder="1" applyAlignment="1">
      <alignment horizontal="center" vertical="center" wrapText="1"/>
    </xf>
    <xf numFmtId="0" fontId="1" fillId="2" borderId="40" xfId="0" applyFont="1" applyFill="1" applyBorder="1" applyAlignment="1">
      <alignment horizontal="left" vertical="center" wrapText="1"/>
    </xf>
    <xf numFmtId="0" fontId="1" fillId="2" borderId="5" xfId="0" applyFont="1" applyFill="1" applyBorder="1" applyAlignment="1">
      <alignment vertical="center" wrapText="1"/>
    </xf>
    <xf numFmtId="176" fontId="1" fillId="2" borderId="40" xfId="0" applyNumberFormat="1" applyFont="1" applyFill="1" applyBorder="1" applyAlignment="1">
      <alignment horizontal="left" vertical="center" wrapText="1"/>
    </xf>
    <xf numFmtId="176" fontId="38" fillId="2" borderId="40" xfId="0" applyNumberFormat="1" applyFont="1" applyFill="1" applyBorder="1" applyAlignment="1">
      <alignment horizontal="center" vertical="center" wrapText="1"/>
    </xf>
    <xf numFmtId="175" fontId="38" fillId="2" borderId="39" xfId="0" applyNumberFormat="1" applyFont="1" applyFill="1" applyBorder="1" applyAlignment="1">
      <alignment horizontal="center" vertical="top" wrapText="1"/>
    </xf>
    <xf numFmtId="0" fontId="1" fillId="0" borderId="0" xfId="0" applyFont="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2" borderId="22" xfId="0" applyFont="1" applyFill="1" applyBorder="1" applyAlignment="1">
      <alignment horizontal="left" vertical="center" wrapText="1"/>
    </xf>
    <xf numFmtId="0" fontId="1" fillId="2" borderId="22" xfId="0" applyFont="1" applyFill="1" applyBorder="1" applyAlignment="1">
      <alignment vertical="center"/>
    </xf>
    <xf numFmtId="0" fontId="1" fillId="2" borderId="22" xfId="0" applyFont="1" applyFill="1" applyBorder="1" applyAlignment="1">
      <alignment horizontal="left" vertical="center"/>
    </xf>
    <xf numFmtId="0" fontId="2" fillId="2" borderId="2" xfId="0" applyFont="1" applyFill="1" applyBorder="1" applyAlignment="1">
      <alignment vertical="center"/>
    </xf>
    <xf numFmtId="0" fontId="40" fillId="2" borderId="8" xfId="0" applyFont="1" applyFill="1" applyBorder="1" applyAlignment="1">
      <alignment horizontal="center" vertical="center" wrapText="1"/>
    </xf>
    <xf numFmtId="0" fontId="1" fillId="2" borderId="8" xfId="0" applyFont="1" applyFill="1" applyBorder="1" applyAlignment="1">
      <alignment horizontal="left" vertical="top" wrapText="1"/>
    </xf>
    <xf numFmtId="175" fontId="4" fillId="2" borderId="8" xfId="0" applyNumberFormat="1" applyFont="1" applyFill="1" applyBorder="1" applyAlignment="1">
      <alignment horizontal="center" vertical="top" wrapText="1"/>
    </xf>
    <xf numFmtId="9" fontId="4" fillId="2" borderId="8" xfId="0" applyNumberFormat="1" applyFont="1" applyFill="1" applyBorder="1" applyAlignment="1">
      <alignment horizontal="center" vertical="top" wrapText="1"/>
    </xf>
    <xf numFmtId="175" fontId="4" fillId="2" borderId="39" xfId="0" applyNumberFormat="1" applyFont="1" applyFill="1" applyBorder="1" applyAlignment="1">
      <alignment horizontal="center" vertical="top" wrapText="1"/>
    </xf>
    <xf numFmtId="0" fontId="41" fillId="20" borderId="13" xfId="0" applyFont="1" applyFill="1" applyBorder="1" applyAlignment="1">
      <alignment horizontal="center" vertical="center" wrapText="1"/>
    </xf>
    <xf numFmtId="0" fontId="21" fillId="9" borderId="13" xfId="0" applyFont="1" applyFill="1" applyBorder="1" applyAlignment="1">
      <alignment horizontal="center" vertical="center" wrapText="1"/>
    </xf>
    <xf numFmtId="0" fontId="21" fillId="9" borderId="13" xfId="0" applyFont="1" applyFill="1" applyBorder="1" applyAlignment="1">
      <alignment horizontal="left" vertical="center" wrapText="1"/>
    </xf>
    <xf numFmtId="0" fontId="42" fillId="0" borderId="13" xfId="0" applyFont="1" applyBorder="1" applyAlignment="1">
      <alignment horizontal="center" vertical="center"/>
    </xf>
    <xf numFmtId="166" fontId="21" fillId="9" borderId="13" xfId="0" applyNumberFormat="1" applyFont="1" applyFill="1" applyBorder="1" applyAlignment="1">
      <alignment horizontal="center" vertical="center" wrapText="1"/>
    </xf>
    <xf numFmtId="169" fontId="21" fillId="9" borderId="13" xfId="0" applyNumberFormat="1" applyFont="1" applyFill="1" applyBorder="1" applyAlignment="1">
      <alignment horizontal="center" vertical="center" wrapText="1"/>
    </xf>
    <xf numFmtId="2" fontId="15" fillId="0" borderId="13" xfId="0" applyNumberFormat="1" applyFont="1" applyBorder="1" applyAlignment="1">
      <alignment horizontal="center" vertical="center" wrapText="1"/>
    </xf>
    <xf numFmtId="169" fontId="15" fillId="0" borderId="13" xfId="0" applyNumberFormat="1" applyFont="1" applyBorder="1" applyAlignment="1">
      <alignment horizontal="center" vertical="center" wrapText="1"/>
    </xf>
    <xf numFmtId="167" fontId="15" fillId="0" borderId="13" xfId="0" applyNumberFormat="1" applyFont="1" applyBorder="1" applyAlignment="1">
      <alignment horizontal="center" vertical="center" wrapText="1"/>
    </xf>
    <xf numFmtId="168" fontId="15" fillId="0" borderId="13" xfId="0" applyNumberFormat="1" applyFont="1" applyBorder="1" applyAlignment="1">
      <alignment horizontal="center" vertical="center" wrapText="1"/>
    </xf>
    <xf numFmtId="2" fontId="42" fillId="0" borderId="13" xfId="0" applyNumberFormat="1" applyFont="1" applyBorder="1" applyAlignment="1">
      <alignment horizontal="center" vertical="center" wrapText="1"/>
    </xf>
    <xf numFmtId="2" fontId="21" fillId="9" borderId="13" xfId="0" applyNumberFormat="1" applyFont="1" applyFill="1" applyBorder="1" applyAlignment="1">
      <alignment horizontal="center" vertical="center" wrapText="1"/>
    </xf>
    <xf numFmtId="167" fontId="15" fillId="21" borderId="13" xfId="0" applyNumberFormat="1" applyFont="1" applyFill="1" applyBorder="1" applyAlignment="1">
      <alignment horizontal="center" vertical="center" wrapText="1"/>
    </xf>
    <xf numFmtId="2" fontId="42" fillId="0" borderId="13" xfId="0" applyNumberFormat="1" applyFont="1" applyBorder="1" applyAlignment="1">
      <alignment horizontal="center" vertical="center"/>
    </xf>
    <xf numFmtId="0" fontId="42" fillId="0" borderId="13" xfId="0" applyFont="1" applyBorder="1" applyAlignment="1">
      <alignment horizontal="center" vertical="center" wrapText="1"/>
    </xf>
    <xf numFmtId="0" fontId="15" fillId="0" borderId="13" xfId="0" applyFont="1" applyBorder="1" applyAlignment="1">
      <alignment horizontal="center" vertical="center" wrapText="1"/>
    </xf>
    <xf numFmtId="0" fontId="43" fillId="0" borderId="13" xfId="0" applyFont="1" applyBorder="1" applyAlignment="1">
      <alignment horizontal="left"/>
    </xf>
    <xf numFmtId="0" fontId="19" fillId="0" borderId="13" xfId="0" applyFont="1" applyBorder="1" applyAlignment="1">
      <alignment horizontal="left"/>
    </xf>
    <xf numFmtId="0" fontId="20" fillId="0" borderId="13" xfId="0" applyFont="1" applyBorder="1" applyAlignment="1">
      <alignment horizontal="left" wrapText="1"/>
    </xf>
    <xf numFmtId="0" fontId="16" fillId="17" borderId="13" xfId="0" applyFont="1" applyFill="1" applyBorder="1" applyAlignment="1">
      <alignment horizontal="center" vertical="center"/>
    </xf>
    <xf numFmtId="0" fontId="16" fillId="16" borderId="13" xfId="0" applyFont="1" applyFill="1" applyBorder="1" applyAlignment="1">
      <alignment horizontal="center" vertical="center"/>
    </xf>
    <xf numFmtId="168" fontId="15" fillId="23" borderId="13" xfId="0" applyNumberFormat="1" applyFont="1" applyFill="1" applyBorder="1" applyAlignment="1">
      <alignment horizontal="center" vertical="center" wrapText="1"/>
    </xf>
    <xf numFmtId="167" fontId="15" fillId="23" borderId="13" xfId="0" applyNumberFormat="1" applyFont="1" applyFill="1" applyBorder="1" applyAlignment="1">
      <alignment horizontal="center" vertical="center" wrapText="1"/>
    </xf>
    <xf numFmtId="177" fontId="15" fillId="0" borderId="13" xfId="0" applyNumberFormat="1" applyFont="1" applyBorder="1" applyAlignment="1">
      <alignment horizontal="center" vertical="center" wrapText="1"/>
    </xf>
    <xf numFmtId="1" fontId="15" fillId="0" borderId="13" xfId="0" applyNumberFormat="1" applyFont="1" applyBorder="1" applyAlignment="1">
      <alignment horizontal="center" vertical="center" wrapText="1"/>
    </xf>
    <xf numFmtId="167" fontId="24" fillId="0" borderId="0" xfId="0" applyNumberFormat="1" applyFont="1"/>
    <xf numFmtId="0" fontId="13" fillId="24" borderId="0" xfId="0" applyFont="1" applyFill="1"/>
    <xf numFmtId="0" fontId="12" fillId="24" borderId="12" xfId="0" applyFont="1" applyFill="1" applyBorder="1" applyAlignment="1">
      <alignment horizontal="center" vertical="center" wrapText="1"/>
    </xf>
    <xf numFmtId="166" fontId="12" fillId="24" borderId="12" xfId="0" applyNumberFormat="1" applyFont="1" applyFill="1" applyBorder="1" applyAlignment="1">
      <alignment horizontal="center" vertical="center" wrapText="1"/>
    </xf>
    <xf numFmtId="169" fontId="12" fillId="24" borderId="12" xfId="0" applyNumberFormat="1" applyFont="1" applyFill="1" applyBorder="1" applyAlignment="1">
      <alignment horizontal="center" vertical="center" wrapText="1"/>
    </xf>
    <xf numFmtId="2" fontId="23" fillId="24" borderId="12" xfId="0" applyNumberFormat="1" applyFont="1" applyFill="1" applyBorder="1" applyAlignment="1">
      <alignment horizontal="center" vertical="center" wrapText="1"/>
    </xf>
    <xf numFmtId="169" fontId="23" fillId="24" borderId="12" xfId="0" applyNumberFormat="1" applyFont="1" applyFill="1" applyBorder="1" applyAlignment="1">
      <alignment horizontal="center" vertical="center" wrapText="1"/>
    </xf>
    <xf numFmtId="167" fontId="24" fillId="24" borderId="12" xfId="0" applyNumberFormat="1" applyFont="1" applyFill="1" applyBorder="1" applyAlignment="1">
      <alignment horizontal="center" vertical="center" wrapText="1"/>
    </xf>
    <xf numFmtId="167" fontId="23" fillId="24" borderId="12" xfId="0" applyNumberFormat="1" applyFont="1" applyFill="1" applyBorder="1" applyAlignment="1">
      <alignment horizontal="center" vertical="center" wrapText="1"/>
    </xf>
    <xf numFmtId="178" fontId="23" fillId="24" borderId="12" xfId="0" applyNumberFormat="1" applyFont="1" applyFill="1" applyBorder="1" applyAlignment="1">
      <alignment horizontal="center" vertical="center" wrapText="1"/>
    </xf>
    <xf numFmtId="0" fontId="23" fillId="24" borderId="12" xfId="0" applyFont="1" applyFill="1" applyBorder="1" applyAlignment="1">
      <alignment horizontal="center" vertical="center" wrapText="1"/>
    </xf>
    <xf numFmtId="169" fontId="23" fillId="0" borderId="12" xfId="0" applyNumberFormat="1" applyFont="1" applyBorder="1" applyAlignment="1">
      <alignment horizontal="center" vertical="center" wrapText="1"/>
    </xf>
    <xf numFmtId="167" fontId="24" fillId="0" borderId="12" xfId="0" applyNumberFormat="1" applyFont="1" applyBorder="1" applyAlignment="1">
      <alignment horizontal="center" vertical="center" wrapText="1"/>
    </xf>
    <xf numFmtId="178" fontId="23" fillId="0" borderId="12"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15" fillId="24" borderId="13" xfId="0" applyFont="1" applyFill="1" applyBorder="1" applyAlignment="1">
      <alignment horizontal="center" vertical="center" wrapText="1"/>
    </xf>
    <xf numFmtId="2" fontId="15" fillId="24" borderId="13" xfId="0" applyNumberFormat="1" applyFont="1" applyFill="1" applyBorder="1" applyAlignment="1">
      <alignment horizontal="center" vertical="center" wrapText="1"/>
    </xf>
    <xf numFmtId="169" fontId="15" fillId="24" borderId="13" xfId="0" applyNumberFormat="1" applyFont="1" applyFill="1" applyBorder="1" applyAlignment="1">
      <alignment horizontal="center" vertical="center" wrapText="1"/>
    </xf>
    <xf numFmtId="167" fontId="15" fillId="24" borderId="13" xfId="0" applyNumberFormat="1" applyFont="1" applyFill="1" applyBorder="1" applyAlignment="1">
      <alignment horizontal="center" vertical="center" wrapText="1"/>
    </xf>
    <xf numFmtId="0" fontId="13" fillId="0" borderId="2" xfId="0" applyFont="1" applyBorder="1"/>
    <xf numFmtId="0" fontId="13" fillId="0" borderId="5" xfId="0" applyFont="1" applyBorder="1"/>
    <xf numFmtId="0" fontId="13" fillId="12" borderId="0" xfId="0" applyFont="1" applyFill="1"/>
    <xf numFmtId="0" fontId="44" fillId="12" borderId="0" xfId="0" applyFont="1" applyFill="1" applyAlignment="1">
      <alignment vertical="center"/>
    </xf>
    <xf numFmtId="0" fontId="44" fillId="2" borderId="4" xfId="0" applyFont="1" applyFill="1" applyBorder="1" applyAlignment="1">
      <alignment vertical="center"/>
    </xf>
    <xf numFmtId="0" fontId="44" fillId="2" borderId="5" xfId="0" applyFont="1" applyFill="1" applyBorder="1" applyAlignment="1">
      <alignment vertical="center"/>
    </xf>
    <xf numFmtId="0" fontId="38" fillId="12" borderId="0" xfId="0" applyFont="1" applyFill="1" applyAlignment="1">
      <alignment vertical="center"/>
    </xf>
    <xf numFmtId="0" fontId="38" fillId="2" borderId="4" xfId="0" applyFont="1" applyFill="1" applyBorder="1" applyAlignment="1">
      <alignment vertical="center"/>
    </xf>
    <xf numFmtId="0" fontId="38" fillId="2" borderId="42" xfId="0" applyFont="1" applyFill="1" applyBorder="1" applyAlignment="1">
      <alignment horizontal="center" textRotation="90"/>
    </xf>
    <xf numFmtId="0" fontId="44" fillId="11" borderId="43" xfId="0" applyFont="1" applyFill="1" applyBorder="1" applyAlignment="1">
      <alignment horizontal="center" textRotation="90" wrapText="1"/>
    </xf>
    <xf numFmtId="0" fontId="38" fillId="2" borderId="44" xfId="0" applyFont="1" applyFill="1" applyBorder="1" applyAlignment="1">
      <alignment horizontal="center" textRotation="90"/>
    </xf>
    <xf numFmtId="0" fontId="35" fillId="25" borderId="43" xfId="0" applyFont="1" applyFill="1" applyBorder="1" applyAlignment="1">
      <alignment horizontal="center" textRotation="90" wrapText="1"/>
    </xf>
    <xf numFmtId="0" fontId="37" fillId="25" borderId="43" xfId="0" applyFont="1" applyFill="1" applyBorder="1" applyAlignment="1">
      <alignment horizontal="center" textRotation="90" wrapText="1"/>
    </xf>
    <xf numFmtId="0" fontId="35" fillId="25" borderId="45" xfId="0" applyFont="1" applyFill="1" applyBorder="1" applyAlignment="1">
      <alignment horizontal="center" textRotation="90" wrapText="1"/>
    </xf>
    <xf numFmtId="0" fontId="38" fillId="0" borderId="42" xfId="0" applyFont="1" applyBorder="1" applyAlignment="1">
      <alignment horizontal="center" textRotation="90" wrapText="1"/>
    </xf>
    <xf numFmtId="0" fontId="44" fillId="11" borderId="46" xfId="0" applyFont="1" applyFill="1" applyBorder="1" applyAlignment="1">
      <alignment horizontal="center" textRotation="90" wrapText="1"/>
    </xf>
    <xf numFmtId="0" fontId="38" fillId="0" borderId="47" xfId="0" applyFont="1" applyBorder="1" applyAlignment="1">
      <alignment horizontal="center" textRotation="90" wrapText="1"/>
    </xf>
    <xf numFmtId="0" fontId="37" fillId="25" borderId="45" xfId="0" applyFont="1" applyFill="1" applyBorder="1" applyAlignment="1">
      <alignment horizontal="center" textRotation="90" wrapText="1"/>
    </xf>
    <xf numFmtId="0" fontId="38" fillId="2" borderId="5" xfId="0" applyFont="1" applyFill="1" applyBorder="1" applyAlignment="1">
      <alignment vertical="center"/>
    </xf>
    <xf numFmtId="0" fontId="1" fillId="12" borderId="0" xfId="0" applyFont="1" applyFill="1" applyAlignment="1">
      <alignment vertical="center" wrapText="1"/>
    </xf>
    <xf numFmtId="0" fontId="1" fillId="2" borderId="48" xfId="0" applyFont="1" applyFill="1" applyBorder="1" applyAlignment="1">
      <alignment vertical="center" wrapText="1"/>
    </xf>
    <xf numFmtId="0" fontId="13" fillId="0" borderId="49" xfId="0" applyFont="1" applyBorder="1" applyAlignment="1">
      <alignment horizontal="center" vertical="center"/>
    </xf>
    <xf numFmtId="0" fontId="13" fillId="0" borderId="50" xfId="0" applyFont="1" applyBorder="1" applyAlignment="1">
      <alignment horizontal="center" vertical="center"/>
    </xf>
    <xf numFmtId="0" fontId="13" fillId="0" borderId="51" xfId="0" applyFont="1" applyBorder="1" applyAlignment="1">
      <alignment horizontal="center" vertical="center"/>
    </xf>
    <xf numFmtId="0" fontId="13" fillId="0" borderId="52" xfId="0" applyFont="1" applyBorder="1" applyAlignment="1">
      <alignment horizontal="center" vertical="center"/>
    </xf>
    <xf numFmtId="0" fontId="13" fillId="0" borderId="0" xfId="0" applyFont="1" applyAlignment="1">
      <alignment vertical="center"/>
    </xf>
    <xf numFmtId="0" fontId="13" fillId="0" borderId="23" xfId="0" applyFont="1" applyBorder="1" applyAlignment="1">
      <alignment horizontal="center" vertical="center"/>
    </xf>
    <xf numFmtId="0" fontId="45" fillId="2" borderId="10" xfId="0" applyFont="1" applyFill="1" applyBorder="1" applyAlignment="1">
      <alignment horizontal="left" vertical="center"/>
    </xf>
    <xf numFmtId="0" fontId="46" fillId="2" borderId="2" xfId="0" applyFont="1" applyFill="1" applyBorder="1" applyAlignment="1">
      <alignment horizontal="center" vertical="center" wrapText="1"/>
    </xf>
    <xf numFmtId="0" fontId="1" fillId="2" borderId="8" xfId="0" applyFont="1" applyFill="1" applyBorder="1" applyAlignment="1">
      <alignment horizontal="center" vertical="center" textRotation="90" wrapText="1"/>
    </xf>
    <xf numFmtId="0" fontId="47" fillId="27" borderId="8" xfId="0" applyFont="1" applyFill="1" applyBorder="1" applyAlignment="1">
      <alignment horizontal="center" vertical="center" wrapText="1"/>
    </xf>
    <xf numFmtId="0" fontId="47" fillId="6" borderId="8" xfId="0" applyFont="1" applyFill="1" applyBorder="1" applyAlignment="1">
      <alignment horizontal="center" vertical="center" wrapText="1"/>
    </xf>
    <xf numFmtId="0" fontId="48" fillId="7" borderId="0" xfId="0" applyFont="1" applyFill="1" applyAlignment="1">
      <alignment horizontal="center" vertical="center" wrapText="1"/>
    </xf>
    <xf numFmtId="0" fontId="11" fillId="0" borderId="0" xfId="0" applyFont="1" applyAlignment="1">
      <alignment horizontal="left" vertical="center" wrapText="1"/>
    </xf>
    <xf numFmtId="2" fontId="12" fillId="6" borderId="12" xfId="0" applyNumberFormat="1" applyFont="1" applyFill="1" applyBorder="1" applyAlignment="1">
      <alignment horizontal="center" vertical="center" wrapText="1"/>
    </xf>
    <xf numFmtId="0" fontId="14" fillId="0" borderId="12" xfId="0" applyFont="1" applyBorder="1"/>
    <xf numFmtId="2" fontId="23" fillId="0" borderId="12" xfId="0" applyNumberFormat="1" applyFont="1" applyBorder="1"/>
    <xf numFmtId="0" fontId="0" fillId="0" borderId="12" xfId="0" applyBorder="1"/>
    <xf numFmtId="0" fontId="26" fillId="0" borderId="12" xfId="0" applyFont="1" applyBorder="1"/>
    <xf numFmtId="166" fontId="23" fillId="0" borderId="12" xfId="0" applyNumberFormat="1" applyFont="1" applyBorder="1"/>
    <xf numFmtId="167" fontId="23" fillId="0" borderId="12" xfId="0" applyNumberFormat="1" applyFont="1" applyBorder="1"/>
    <xf numFmtId="0" fontId="23" fillId="0" borderId="12" xfId="0" applyFont="1" applyBorder="1"/>
    <xf numFmtId="167" fontId="24" fillId="0" borderId="12" xfId="0" applyNumberFormat="1" applyFont="1" applyBorder="1"/>
    <xf numFmtId="0" fontId="44" fillId="6" borderId="8" xfId="0" applyFont="1" applyFill="1" applyBorder="1" applyAlignment="1">
      <alignment horizontal="center" vertical="center" wrapText="1"/>
    </xf>
    <xf numFmtId="0" fontId="1" fillId="29" borderId="0" xfId="0" applyFont="1" applyFill="1" applyAlignment="1">
      <alignment vertical="center"/>
    </xf>
    <xf numFmtId="0" fontId="49" fillId="2" borderId="1" xfId="0" applyFont="1" applyFill="1" applyBorder="1" applyAlignment="1">
      <alignment horizontal="center" vertical="center" wrapText="1"/>
    </xf>
    <xf numFmtId="0" fontId="49" fillId="2" borderId="38" xfId="0" applyFont="1" applyFill="1" applyBorder="1" applyAlignment="1">
      <alignment horizontal="center" vertical="center" wrapText="1"/>
    </xf>
    <xf numFmtId="0" fontId="38" fillId="2" borderId="8" xfId="0" applyFont="1" applyFill="1" applyBorder="1" applyAlignment="1">
      <alignment vertical="center" wrapText="1"/>
    </xf>
    <xf numFmtId="0" fontId="13" fillId="0" borderId="17" xfId="0" applyFont="1" applyBorder="1" applyAlignment="1">
      <alignment horizontal="center" vertical="center"/>
    </xf>
    <xf numFmtId="0" fontId="3" fillId="0" borderId="17" xfId="0" applyFont="1" applyBorder="1" applyAlignment="1">
      <alignment horizontal="center" vertical="center" wrapText="1"/>
    </xf>
    <xf numFmtId="0" fontId="3" fillId="0" borderId="54" xfId="0" applyFont="1" applyBorder="1" applyAlignment="1">
      <alignment horizontal="center" vertical="center"/>
    </xf>
    <xf numFmtId="0" fontId="1" fillId="2" borderId="54" xfId="0" applyFont="1" applyFill="1" applyBorder="1" applyAlignment="1">
      <alignment horizontal="left" vertical="center"/>
    </xf>
    <xf numFmtId="0" fontId="1" fillId="2" borderId="55" xfId="0" applyFont="1" applyFill="1" applyBorder="1" applyAlignment="1">
      <alignment horizontal="left" vertical="center"/>
    </xf>
    <xf numFmtId="0" fontId="1" fillId="2" borderId="55" xfId="0" applyFont="1" applyFill="1" applyBorder="1" applyAlignment="1">
      <alignment horizontal="left" vertical="center" wrapText="1"/>
    </xf>
    <xf numFmtId="0" fontId="4" fillId="0" borderId="33" xfId="0" applyFont="1" applyBorder="1" applyAlignment="1">
      <alignment horizontal="center" vertical="center"/>
    </xf>
    <xf numFmtId="0" fontId="4" fillId="0" borderId="55" xfId="0" applyFont="1" applyBorder="1" applyAlignment="1">
      <alignment horizontal="center" vertical="center"/>
    </xf>
    <xf numFmtId="0" fontId="13" fillId="2" borderId="56" xfId="0" applyFont="1" applyFill="1" applyBorder="1" applyAlignment="1">
      <alignment horizontal="center" vertical="center"/>
    </xf>
    <xf numFmtId="0" fontId="3" fillId="0" borderId="0" xfId="0" applyFont="1" applyAlignment="1">
      <alignment horizontal="center" vertical="center"/>
    </xf>
    <xf numFmtId="9" fontId="4" fillId="0" borderId="0" xfId="0" applyNumberFormat="1" applyFont="1" applyAlignment="1">
      <alignment horizontal="center" vertical="center"/>
    </xf>
    <xf numFmtId="9" fontId="4" fillId="2" borderId="0" xfId="0" applyNumberFormat="1" applyFont="1" applyFill="1" applyAlignment="1">
      <alignment horizontal="center" vertical="center"/>
    </xf>
    <xf numFmtId="9" fontId="13" fillId="0" borderId="0" xfId="0" applyNumberFormat="1" applyFont="1" applyAlignment="1">
      <alignment horizontal="center" vertical="center"/>
    </xf>
    <xf numFmtId="179" fontId="4" fillId="0" borderId="0" xfId="0" applyNumberFormat="1" applyFont="1" applyAlignment="1">
      <alignment horizontal="center" vertical="center"/>
    </xf>
    <xf numFmtId="179" fontId="4" fillId="2" borderId="0" xfId="0" applyNumberFormat="1" applyFont="1" applyFill="1" applyAlignment="1">
      <alignment horizontal="center" vertical="center"/>
    </xf>
    <xf numFmtId="179" fontId="13" fillId="0" borderId="0" xfId="0" applyNumberFormat="1" applyFont="1" applyAlignment="1">
      <alignment horizontal="center" vertical="center"/>
    </xf>
    <xf numFmtId="0" fontId="13" fillId="0" borderId="0" xfId="0" applyFont="1" applyAlignment="1">
      <alignment horizontal="center" vertical="center"/>
    </xf>
    <xf numFmtId="168" fontId="4" fillId="0" borderId="0" xfId="0" applyNumberFormat="1" applyFont="1" applyAlignment="1">
      <alignment horizontal="center" vertical="center"/>
    </xf>
    <xf numFmtId="0" fontId="3" fillId="0" borderId="57" xfId="0" applyFont="1" applyBorder="1" applyAlignment="1">
      <alignment horizontal="center" vertical="center"/>
    </xf>
    <xf numFmtId="0" fontId="1" fillId="2" borderId="57" xfId="0" applyFont="1" applyFill="1" applyBorder="1" applyAlignment="1">
      <alignment horizontal="left" vertical="center"/>
    </xf>
    <xf numFmtId="0" fontId="1" fillId="2" borderId="33" xfId="0" applyFont="1" applyFill="1" applyBorder="1" applyAlignment="1">
      <alignment horizontal="left" vertical="center"/>
    </xf>
    <xf numFmtId="0" fontId="1" fillId="2" borderId="33" xfId="0" applyFont="1" applyFill="1" applyBorder="1" applyAlignment="1">
      <alignment horizontal="left" vertical="center" wrapText="1"/>
    </xf>
    <xf numFmtId="0" fontId="4" fillId="0" borderId="58" xfId="0" applyFont="1" applyBorder="1" applyAlignment="1">
      <alignment horizontal="center" vertical="center"/>
    </xf>
    <xf numFmtId="0" fontId="13" fillId="2" borderId="58" xfId="0" applyFont="1" applyFill="1" applyBorder="1" applyAlignment="1">
      <alignment horizontal="center" vertical="center"/>
    </xf>
    <xf numFmtId="0" fontId="24" fillId="0" borderId="12" xfId="0" applyFont="1" applyBorder="1" applyAlignment="1">
      <alignment horizontal="center" vertical="center" wrapText="1"/>
    </xf>
    <xf numFmtId="2" fontId="24" fillId="0" borderId="12" xfId="0" applyNumberFormat="1" applyFont="1" applyBorder="1" applyAlignment="1">
      <alignment horizontal="center" vertical="center" wrapText="1"/>
    </xf>
    <xf numFmtId="0" fontId="10" fillId="8" borderId="12" xfId="0" applyFont="1" applyFill="1" applyBorder="1" applyAlignment="1">
      <alignment horizontal="center" vertical="center" wrapText="1"/>
    </xf>
    <xf numFmtId="0" fontId="50" fillId="0" borderId="13" xfId="0" applyFont="1" applyBorder="1" applyAlignment="1">
      <alignment horizontal="center" vertical="center" wrapText="1"/>
    </xf>
    <xf numFmtId="180" fontId="21" fillId="0" borderId="13" xfId="0" applyNumberFormat="1" applyFont="1" applyBorder="1" applyAlignment="1">
      <alignment horizontal="center" vertical="center" wrapText="1"/>
    </xf>
    <xf numFmtId="181" fontId="21" fillId="0" borderId="13" xfId="0" applyNumberFormat="1" applyFont="1" applyBorder="1" applyAlignment="1">
      <alignment horizontal="center" vertical="center" wrapText="1"/>
    </xf>
    <xf numFmtId="0" fontId="21" fillId="0" borderId="13" xfId="0" applyFont="1" applyBorder="1" applyAlignment="1">
      <alignment horizontal="center" vertical="center" wrapText="1"/>
    </xf>
    <xf numFmtId="167" fontId="21" fillId="0" borderId="13" xfId="0" applyNumberFormat="1" applyFont="1" applyBorder="1" applyAlignment="1">
      <alignment horizontal="center"/>
    </xf>
    <xf numFmtId="180" fontId="50" fillId="0" borderId="13" xfId="0" applyNumberFormat="1" applyFont="1" applyBorder="1" applyAlignment="1">
      <alignment horizontal="center"/>
    </xf>
    <xf numFmtId="0" fontId="50" fillId="24" borderId="13" xfId="0" applyFont="1" applyFill="1" applyBorder="1" applyAlignment="1">
      <alignment horizontal="center" vertical="center" wrapText="1"/>
    </xf>
    <xf numFmtId="180" fontId="21" fillId="24" borderId="13" xfId="0" applyNumberFormat="1" applyFont="1" applyFill="1" applyBorder="1" applyAlignment="1">
      <alignment horizontal="center" vertical="center" wrapText="1"/>
    </xf>
    <xf numFmtId="181" fontId="21" fillId="24" borderId="13" xfId="0" applyNumberFormat="1"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18" fillId="0" borderId="13" xfId="0" applyFont="1" applyBorder="1" applyAlignment="1">
      <alignment horizontal="left"/>
    </xf>
    <xf numFmtId="0" fontId="18" fillId="5" borderId="13" xfId="0" applyFont="1" applyFill="1" applyBorder="1" applyAlignment="1">
      <alignment horizontal="center" vertical="center" wrapText="1"/>
    </xf>
    <xf numFmtId="0" fontId="20" fillId="0" borderId="13" xfId="0" applyFont="1" applyBorder="1" applyAlignment="1">
      <alignment horizontal="center" vertical="center" wrapText="1"/>
    </xf>
    <xf numFmtId="0" fontId="19" fillId="0" borderId="13" xfId="0" applyFont="1" applyBorder="1" applyAlignment="1">
      <alignment horizontal="center" vertical="center" wrapText="1"/>
    </xf>
    <xf numFmtId="180" fontId="15" fillId="0" borderId="13" xfId="0" applyNumberFormat="1" applyFont="1" applyBorder="1" applyAlignment="1">
      <alignment horizontal="center" vertical="center"/>
    </xf>
    <xf numFmtId="181" fontId="12" fillId="0" borderId="12" xfId="0" applyNumberFormat="1" applyFont="1" applyBorder="1" applyAlignment="1">
      <alignment horizontal="center" vertical="center" wrapText="1"/>
    </xf>
    <xf numFmtId="167" fontId="42" fillId="0" borderId="13" xfId="0" applyNumberFormat="1" applyFont="1" applyBorder="1" applyAlignment="1">
      <alignment horizontal="center" vertical="center" wrapText="1"/>
    </xf>
    <xf numFmtId="0" fontId="41" fillId="0" borderId="13" xfId="0" applyFont="1" applyBorder="1" applyAlignment="1">
      <alignment horizontal="center" vertical="center" wrapText="1"/>
    </xf>
    <xf numFmtId="168" fontId="12" fillId="0" borderId="12" xfId="0" applyNumberFormat="1" applyFont="1" applyBorder="1" applyAlignment="1">
      <alignment horizontal="center" vertical="center" wrapText="1"/>
    </xf>
    <xf numFmtId="169" fontId="24" fillId="0" borderId="12" xfId="0" applyNumberFormat="1" applyFont="1" applyBorder="1" applyAlignment="1">
      <alignment horizontal="center" vertical="center" wrapText="1"/>
    </xf>
    <xf numFmtId="0" fontId="50" fillId="0" borderId="13" xfId="0" applyFont="1" applyBorder="1" applyAlignment="1">
      <alignment horizontal="left" vertical="center"/>
    </xf>
    <xf numFmtId="167" fontId="50" fillId="0" borderId="13" xfId="0" applyNumberFormat="1" applyFont="1" applyBorder="1" applyAlignment="1">
      <alignment horizontal="center" vertical="center"/>
    </xf>
    <xf numFmtId="169" fontId="50" fillId="0" borderId="13" xfId="0" applyNumberFormat="1" applyFont="1" applyBorder="1" applyAlignment="1">
      <alignment horizontal="center" vertical="center"/>
    </xf>
    <xf numFmtId="0" fontId="50" fillId="0" borderId="13" xfId="0" applyFont="1" applyBorder="1"/>
    <xf numFmtId="0" fontId="50" fillId="8" borderId="13" xfId="0" applyFont="1" applyFill="1" applyBorder="1" applyAlignment="1">
      <alignment horizontal="center" vertical="center"/>
    </xf>
    <xf numFmtId="0" fontId="50" fillId="7" borderId="13" xfId="0" applyFont="1" applyFill="1" applyBorder="1" applyAlignment="1">
      <alignment horizontal="center" vertical="center" wrapText="1"/>
    </xf>
    <xf numFmtId="0" fontId="50" fillId="7" borderId="13" xfId="0" applyFont="1" applyFill="1" applyBorder="1" applyAlignment="1">
      <alignment horizontal="left" vertical="center"/>
    </xf>
    <xf numFmtId="0" fontId="50" fillId="7" borderId="13" xfId="0" applyFont="1" applyFill="1" applyBorder="1" applyAlignment="1">
      <alignment horizontal="center" vertical="center"/>
    </xf>
    <xf numFmtId="167" fontId="50" fillId="7" borderId="13" xfId="0" applyNumberFormat="1" applyFont="1" applyFill="1" applyBorder="1" applyAlignment="1">
      <alignment horizontal="center" vertical="center"/>
    </xf>
    <xf numFmtId="169" fontId="50" fillId="7" borderId="13" xfId="0" applyNumberFormat="1" applyFont="1" applyFill="1" applyBorder="1" applyAlignment="1">
      <alignment horizontal="center" vertical="center"/>
    </xf>
    <xf numFmtId="168" fontId="50" fillId="7" borderId="13" xfId="0" applyNumberFormat="1" applyFont="1" applyFill="1" applyBorder="1" applyAlignment="1">
      <alignment horizontal="center" vertical="center"/>
    </xf>
    <xf numFmtId="177" fontId="50" fillId="0" borderId="13" xfId="0" applyNumberFormat="1" applyFont="1" applyBorder="1" applyAlignment="1">
      <alignment horizontal="center" vertical="center"/>
    </xf>
    <xf numFmtId="0" fontId="50" fillId="0" borderId="13" xfId="0" applyFont="1" applyBorder="1" applyAlignment="1">
      <alignment horizontal="center" vertical="center"/>
    </xf>
    <xf numFmtId="168" fontId="50" fillId="0" borderId="13" xfId="0" applyNumberFormat="1" applyFont="1" applyBorder="1" applyAlignment="1">
      <alignment horizontal="center" vertical="center"/>
    </xf>
    <xf numFmtId="0" fontId="17" fillId="7" borderId="13" xfId="0" applyFont="1" applyFill="1" applyBorder="1" applyAlignment="1">
      <alignment horizontal="left" vertical="center"/>
    </xf>
    <xf numFmtId="0" fontId="17" fillId="7" borderId="13" xfId="0" applyFont="1" applyFill="1" applyBorder="1" applyAlignment="1">
      <alignment horizontal="center" vertical="center"/>
    </xf>
    <xf numFmtId="167" fontId="17" fillId="7" borderId="13" xfId="0" applyNumberFormat="1" applyFont="1" applyFill="1" applyBorder="1" applyAlignment="1">
      <alignment horizontal="center" vertical="center"/>
    </xf>
    <xf numFmtId="169" fontId="17" fillId="7" borderId="13" xfId="0" applyNumberFormat="1" applyFont="1" applyFill="1" applyBorder="1" applyAlignment="1">
      <alignment horizontal="center" vertical="center"/>
    </xf>
    <xf numFmtId="168" fontId="17" fillId="7" borderId="13" xfId="0" applyNumberFormat="1" applyFont="1" applyFill="1" applyBorder="1" applyAlignment="1">
      <alignment horizontal="center" vertical="center"/>
    </xf>
    <xf numFmtId="177" fontId="17" fillId="7" borderId="13" xfId="0" applyNumberFormat="1" applyFont="1" applyFill="1" applyBorder="1" applyAlignment="1">
      <alignment horizontal="center" vertical="center"/>
    </xf>
    <xf numFmtId="2" fontId="50" fillId="0" borderId="13" xfId="0" applyNumberFormat="1" applyFont="1" applyBorder="1" applyAlignment="1">
      <alignment horizontal="center" vertical="center"/>
    </xf>
    <xf numFmtId="0" fontId="13" fillId="2" borderId="59" xfId="0" applyFont="1" applyFill="1" applyBorder="1"/>
    <xf numFmtId="0" fontId="13" fillId="2" borderId="60" xfId="0" applyFont="1" applyFill="1" applyBorder="1"/>
    <xf numFmtId="182" fontId="13" fillId="12" borderId="0" xfId="0" applyNumberFormat="1" applyFont="1" applyFill="1"/>
    <xf numFmtId="0" fontId="13" fillId="2" borderId="61" xfId="0" applyFont="1" applyFill="1" applyBorder="1"/>
    <xf numFmtId="9" fontId="3" fillId="2" borderId="60" xfId="0" applyNumberFormat="1" applyFont="1" applyFill="1" applyBorder="1" applyAlignment="1">
      <alignment horizontal="center"/>
    </xf>
    <xf numFmtId="9" fontId="3" fillId="2" borderId="61" xfId="0" applyNumberFormat="1" applyFont="1" applyFill="1" applyBorder="1" applyAlignment="1">
      <alignment horizontal="center"/>
    </xf>
    <xf numFmtId="0" fontId="3" fillId="0" borderId="0" xfId="0" applyFont="1" applyAlignment="1">
      <alignment horizontal="right" vertical="center"/>
    </xf>
    <xf numFmtId="170" fontId="13" fillId="2" borderId="0" xfId="0" applyNumberFormat="1" applyFont="1" applyFill="1"/>
    <xf numFmtId="0" fontId="3" fillId="0" borderId="62" xfId="0" applyFont="1" applyBorder="1" applyAlignment="1">
      <alignment horizontal="center" vertical="center"/>
    </xf>
    <xf numFmtId="0" fontId="3" fillId="0" borderId="63" xfId="0" applyFont="1" applyBorder="1" applyAlignment="1">
      <alignment horizontal="center" vertical="center"/>
    </xf>
    <xf numFmtId="0" fontId="3" fillId="0" borderId="64" xfId="0" applyFont="1" applyBorder="1" applyAlignment="1">
      <alignment horizontal="center" vertical="center"/>
    </xf>
    <xf numFmtId="167" fontId="13" fillId="0" borderId="0" xfId="0" applyNumberFormat="1" applyFont="1"/>
    <xf numFmtId="0" fontId="3" fillId="0" borderId="65" xfId="0" applyFont="1" applyBorder="1" applyAlignment="1">
      <alignment horizontal="center" vertical="center"/>
    </xf>
    <xf numFmtId="9" fontId="4" fillId="0" borderId="60" xfId="0" applyNumberFormat="1" applyFont="1" applyBorder="1" applyAlignment="1">
      <alignment horizontal="center" vertical="center"/>
    </xf>
    <xf numFmtId="9" fontId="13" fillId="2" borderId="0" xfId="0" applyNumberFormat="1" applyFont="1" applyFill="1" applyAlignment="1">
      <alignment horizontal="center" vertical="center"/>
    </xf>
    <xf numFmtId="0" fontId="3" fillId="0" borderId="66" xfId="0" applyFont="1" applyBorder="1" applyAlignment="1">
      <alignment horizontal="center" vertical="center"/>
    </xf>
    <xf numFmtId="9" fontId="4" fillId="0" borderId="17" xfId="0" applyNumberFormat="1" applyFont="1" applyBorder="1" applyAlignment="1">
      <alignment horizontal="center" vertical="center"/>
    </xf>
    <xf numFmtId="9" fontId="4" fillId="0" borderId="61" xfId="0" applyNumberFormat="1" applyFont="1" applyBorder="1" applyAlignment="1">
      <alignment horizontal="center" vertical="center"/>
    </xf>
    <xf numFmtId="179" fontId="4" fillId="0" borderId="60" xfId="0" applyNumberFormat="1" applyFont="1" applyBorder="1" applyAlignment="1">
      <alignment horizontal="center" vertical="center"/>
    </xf>
    <xf numFmtId="168" fontId="13" fillId="0" borderId="0" xfId="0" applyNumberFormat="1" applyFont="1"/>
    <xf numFmtId="173" fontId="13" fillId="0" borderId="0" xfId="0" applyNumberFormat="1" applyFont="1"/>
    <xf numFmtId="173" fontId="13" fillId="2" borderId="0" xfId="0" applyNumberFormat="1" applyFont="1" applyFill="1"/>
    <xf numFmtId="179" fontId="4" fillId="0" borderId="17" xfId="0" applyNumberFormat="1" applyFont="1" applyBorder="1" applyAlignment="1">
      <alignment horizontal="center" vertical="center"/>
    </xf>
    <xf numFmtId="179" fontId="4" fillId="0" borderId="61" xfId="0" applyNumberFormat="1" applyFont="1" applyBorder="1" applyAlignment="1">
      <alignment horizontal="center" vertical="center"/>
    </xf>
    <xf numFmtId="0" fontId="33" fillId="2" borderId="0" xfId="0" applyFont="1" applyFill="1" applyAlignment="1">
      <alignment vertical="center"/>
    </xf>
    <xf numFmtId="0" fontId="0" fillId="0" borderId="67" xfId="0" applyBorder="1"/>
    <xf numFmtId="0" fontId="1" fillId="0" borderId="0" xfId="0" applyFont="1" applyAlignment="1">
      <alignment horizontal="left" vertical="center"/>
    </xf>
    <xf numFmtId="0" fontId="3" fillId="2" borderId="0" xfId="0" applyFont="1" applyFill="1" applyAlignment="1">
      <alignment horizontal="center" vertical="center" wrapText="1"/>
    </xf>
    <xf numFmtId="183" fontId="4" fillId="0" borderId="0" xfId="0" applyNumberFormat="1" applyFont="1" applyAlignment="1">
      <alignment vertical="center"/>
    </xf>
    <xf numFmtId="0" fontId="13" fillId="0" borderId="12" xfId="0" applyFont="1" applyBorder="1" applyAlignment="1">
      <alignment horizontal="left" vertical="center" wrapText="1"/>
    </xf>
    <xf numFmtId="0" fontId="0" fillId="11" borderId="0" xfId="0" applyFill="1"/>
    <xf numFmtId="0" fontId="0" fillId="25" borderId="0" xfId="0" applyFill="1"/>
    <xf numFmtId="0" fontId="52" fillId="2" borderId="0" xfId="0" applyFont="1" applyFill="1" applyAlignment="1">
      <alignment horizontal="left" vertical="center" indent="1"/>
    </xf>
    <xf numFmtId="0" fontId="4" fillId="2" borderId="16" xfId="0" applyFont="1" applyFill="1" applyBorder="1" applyAlignment="1">
      <alignment vertical="center" wrapText="1"/>
    </xf>
    <xf numFmtId="0" fontId="4" fillId="2" borderId="66" xfId="0" applyFont="1" applyFill="1" applyBorder="1" applyAlignment="1">
      <alignment vertical="center" wrapText="1"/>
    </xf>
    <xf numFmtId="0" fontId="4" fillId="2" borderId="48" xfId="0" applyFont="1" applyFill="1" applyBorder="1" applyAlignment="1">
      <alignment vertical="center" wrapText="1"/>
    </xf>
    <xf numFmtId="0" fontId="31" fillId="2" borderId="68" xfId="0" applyFont="1" applyFill="1" applyBorder="1" applyAlignment="1">
      <alignment vertical="center"/>
    </xf>
    <xf numFmtId="0" fontId="1" fillId="2" borderId="69" xfId="0" applyFont="1" applyFill="1" applyBorder="1" applyAlignment="1">
      <alignment vertical="center"/>
    </xf>
    <xf numFmtId="0" fontId="53" fillId="0" borderId="0" xfId="0" applyFont="1"/>
    <xf numFmtId="0" fontId="54" fillId="0" borderId="0" xfId="0" applyFont="1"/>
    <xf numFmtId="0" fontId="12" fillId="34" borderId="12" xfId="0" applyFont="1" applyFill="1" applyBorder="1" applyAlignment="1">
      <alignment horizontal="center" vertical="center" wrapText="1"/>
    </xf>
    <xf numFmtId="0" fontId="0" fillId="35" borderId="0" xfId="0" applyFill="1"/>
    <xf numFmtId="0" fontId="0" fillId="36" borderId="0" xfId="0" applyFill="1"/>
    <xf numFmtId="0" fontId="55" fillId="0" borderId="0" xfId="0" applyFont="1"/>
    <xf numFmtId="2" fontId="21" fillId="36" borderId="12" xfId="0" applyNumberFormat="1" applyFont="1" applyFill="1" applyBorder="1" applyAlignment="1">
      <alignment horizontal="center" vertical="center" wrapText="1"/>
    </xf>
    <xf numFmtId="168" fontId="21" fillId="36" borderId="12" xfId="0" applyNumberFormat="1" applyFont="1" applyFill="1" applyBorder="1" applyAlignment="1">
      <alignment horizontal="center" vertical="center" wrapText="1"/>
    </xf>
    <xf numFmtId="0" fontId="12" fillId="36" borderId="12" xfId="0" applyFont="1" applyFill="1" applyBorder="1" applyAlignment="1">
      <alignment horizontal="center" vertical="center" wrapText="1"/>
    </xf>
    <xf numFmtId="0" fontId="16" fillId="8" borderId="41" xfId="0" applyFont="1" applyFill="1" applyBorder="1" applyAlignment="1">
      <alignment horizontal="center" vertical="center"/>
    </xf>
    <xf numFmtId="0" fontId="16" fillId="7" borderId="41" xfId="0" applyFont="1" applyFill="1" applyBorder="1" applyAlignment="1">
      <alignment horizontal="center" vertical="center"/>
    </xf>
    <xf numFmtId="0" fontId="16" fillId="16" borderId="41" xfId="0" applyFont="1" applyFill="1" applyBorder="1" applyAlignment="1">
      <alignment horizontal="center" vertical="center"/>
    </xf>
    <xf numFmtId="0" fontId="16" fillId="22" borderId="41" xfId="0" applyFont="1" applyFill="1" applyBorder="1" applyAlignment="1">
      <alignment horizontal="center" vertical="center"/>
    </xf>
    <xf numFmtId="0" fontId="16" fillId="19" borderId="41" xfId="0" applyFont="1" applyFill="1" applyBorder="1" applyAlignment="1">
      <alignment horizontal="center" vertical="center"/>
    </xf>
    <xf numFmtId="0" fontId="16" fillId="18" borderId="41" xfId="0" applyFont="1" applyFill="1" applyBorder="1" applyAlignment="1">
      <alignment horizontal="center" vertical="center"/>
    </xf>
    <xf numFmtId="0" fontId="2" fillId="2" borderId="1" xfId="0" applyFont="1" applyFill="1" applyBorder="1" applyAlignment="1">
      <alignment horizontal="center" vertical="center"/>
    </xf>
    <xf numFmtId="165" fontId="4" fillId="2" borderId="8" xfId="0" applyNumberFormat="1" applyFont="1" applyFill="1" applyBorder="1" applyAlignment="1">
      <alignment horizontal="center" vertical="center"/>
    </xf>
    <xf numFmtId="0" fontId="4" fillId="2" borderId="8" xfId="0" applyFont="1" applyFill="1" applyBorder="1" applyAlignment="1">
      <alignment horizontal="center" vertical="center"/>
    </xf>
    <xf numFmtId="165" fontId="4" fillId="0" borderId="8" xfId="0" applyNumberFormat="1" applyFont="1" applyBorder="1" applyAlignment="1">
      <alignment horizontal="center" vertical="center"/>
    </xf>
    <xf numFmtId="0" fontId="9" fillId="5" borderId="0" xfId="0" applyFont="1" applyFill="1" applyAlignment="1">
      <alignment horizontal="left" vertical="center" wrapText="1"/>
    </xf>
    <xf numFmtId="0" fontId="16" fillId="8" borderId="13" xfId="0" applyFont="1" applyFill="1" applyBorder="1" applyAlignment="1">
      <alignment horizontal="center" vertical="center"/>
    </xf>
    <xf numFmtId="0" fontId="7" fillId="4" borderId="0" xfId="0" applyFont="1" applyFill="1" applyAlignment="1">
      <alignment horizontal="center" vertical="center" wrapText="1"/>
    </xf>
    <xf numFmtId="0" fontId="8" fillId="0" borderId="0" xfId="0" applyFont="1" applyAlignment="1">
      <alignment horizontal="center" vertical="center" wrapText="1"/>
    </xf>
    <xf numFmtId="0" fontId="7" fillId="8" borderId="0" xfId="0" applyFont="1" applyFill="1" applyAlignment="1">
      <alignment horizontal="center" vertical="center" wrapText="1"/>
    </xf>
    <xf numFmtId="0" fontId="22" fillId="0" borderId="0" xfId="0" applyFont="1" applyAlignment="1">
      <alignment horizontal="center" vertical="center" wrapText="1"/>
    </xf>
    <xf numFmtId="0" fontId="13" fillId="0" borderId="0" xfId="0" applyFont="1"/>
    <xf numFmtId="0" fontId="23" fillId="0" borderId="12" xfId="0" applyFont="1" applyBorder="1" applyAlignment="1">
      <alignment horizontal="left" vertical="center" wrapText="1"/>
    </xf>
    <xf numFmtId="0" fontId="7" fillId="10" borderId="0" xfId="0" applyFont="1" applyFill="1" applyAlignment="1">
      <alignment horizontal="center" vertical="center" wrapText="1"/>
    </xf>
    <xf numFmtId="0" fontId="7" fillId="7" borderId="0" xfId="0" applyFont="1" applyFill="1" applyAlignment="1">
      <alignment horizontal="center" vertical="center" wrapText="1"/>
    </xf>
    <xf numFmtId="0" fontId="3" fillId="0" borderId="0" xfId="0" applyFont="1" applyAlignment="1">
      <alignment horizontal="center" vertical="center" wrapText="1"/>
    </xf>
    <xf numFmtId="0" fontId="29" fillId="2" borderId="0" xfId="0" applyFont="1" applyFill="1" applyAlignment="1">
      <alignment horizontal="right" vertical="center"/>
    </xf>
    <xf numFmtId="0" fontId="33" fillId="2" borderId="0" xfId="0" applyFont="1" applyFill="1" applyAlignment="1">
      <alignment horizontal="center" vertical="center"/>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32" xfId="0" applyFont="1" applyBorder="1" applyAlignment="1">
      <alignment horizontal="left" vertical="center" wrapText="1"/>
    </xf>
    <xf numFmtId="0" fontId="1" fillId="0" borderId="33" xfId="0" applyFont="1" applyBorder="1" applyAlignment="1">
      <alignment horizontal="left" vertical="center" wrapText="1"/>
    </xf>
    <xf numFmtId="0" fontId="1" fillId="0" borderId="36" xfId="0" applyFont="1" applyBorder="1" applyAlignment="1">
      <alignment horizontal="left" vertical="center" wrapText="1"/>
    </xf>
    <xf numFmtId="0" fontId="1" fillId="2" borderId="10" xfId="0" applyFont="1" applyFill="1" applyBorder="1" applyAlignment="1">
      <alignment horizontal="left" vertical="center" wrapText="1"/>
    </xf>
    <xf numFmtId="0" fontId="1" fillId="0" borderId="35" xfId="0" applyFont="1" applyBorder="1" applyAlignment="1">
      <alignment horizontal="left" vertical="center" wrapText="1"/>
    </xf>
    <xf numFmtId="0" fontId="35" fillId="12" borderId="23" xfId="0" applyFont="1" applyFill="1" applyBorder="1" applyAlignment="1">
      <alignment horizontal="center" vertical="center" wrapText="1"/>
    </xf>
    <xf numFmtId="0" fontId="35" fillId="12" borderId="37" xfId="0" applyFont="1" applyFill="1" applyBorder="1" applyAlignment="1">
      <alignment horizontal="center" vertical="center" wrapText="1"/>
    </xf>
    <xf numFmtId="0" fontId="35" fillId="12" borderId="24" xfId="0" applyFont="1" applyFill="1" applyBorder="1" applyAlignment="1">
      <alignment horizontal="center" vertical="center" wrapText="1"/>
    </xf>
    <xf numFmtId="0" fontId="37" fillId="12" borderId="23" xfId="0" applyFont="1" applyFill="1" applyBorder="1" applyAlignment="1">
      <alignment horizontal="center" vertical="center" wrapText="1"/>
    </xf>
    <xf numFmtId="0" fontId="1" fillId="2" borderId="22" xfId="0" applyFont="1" applyFill="1" applyBorder="1" applyAlignment="1">
      <alignment horizontal="left" vertical="center" wrapText="1"/>
    </xf>
    <xf numFmtId="0" fontId="36" fillId="12" borderId="9" xfId="0" applyFont="1" applyFill="1" applyBorder="1" applyAlignment="1">
      <alignment horizontal="center" vertical="center" wrapText="1"/>
    </xf>
    <xf numFmtId="0" fontId="37" fillId="12" borderId="24" xfId="0" applyFont="1" applyFill="1" applyBorder="1" applyAlignment="1">
      <alignment horizontal="center" vertical="center" wrapText="1"/>
    </xf>
    <xf numFmtId="0" fontId="37" fillId="12" borderId="25" xfId="0" applyFont="1" applyFill="1" applyBorder="1" applyAlignment="1">
      <alignment horizontal="center" vertical="center" wrapText="1"/>
    </xf>
    <xf numFmtId="0" fontId="16" fillId="17" borderId="41" xfId="0" applyFont="1" applyFill="1" applyBorder="1" applyAlignment="1">
      <alignment horizontal="center" vertical="center"/>
    </xf>
    <xf numFmtId="0" fontId="44" fillId="2" borderId="23" xfId="0" applyFont="1" applyFill="1" applyBorder="1" applyAlignment="1">
      <alignment horizontal="left" indent="1"/>
    </xf>
    <xf numFmtId="0" fontId="44" fillId="26" borderId="10" xfId="0" applyFont="1" applyFill="1" applyBorder="1" applyAlignment="1">
      <alignment horizontal="center" textRotation="90" wrapText="1"/>
    </xf>
    <xf numFmtId="0" fontId="35" fillId="25" borderId="37" xfId="0" applyFont="1" applyFill="1" applyBorder="1" applyAlignment="1">
      <alignment horizontal="center" vertical="center" wrapText="1"/>
    </xf>
    <xf numFmtId="0" fontId="46" fillId="2" borderId="1" xfId="0" applyFont="1" applyFill="1" applyBorder="1" applyAlignment="1">
      <alignment horizontal="left" vertical="center" wrapText="1" indent="1"/>
    </xf>
    <xf numFmtId="0" fontId="47" fillId="2" borderId="53" xfId="0" applyFont="1" applyFill="1" applyBorder="1" applyAlignment="1">
      <alignment horizontal="center" vertical="center" wrapText="1"/>
    </xf>
    <xf numFmtId="0" fontId="7" fillId="28" borderId="0" xfId="0" applyFont="1" applyFill="1" applyAlignment="1">
      <alignment horizontal="center" vertical="center" wrapText="1"/>
    </xf>
    <xf numFmtId="0" fontId="47" fillId="2" borderId="37" xfId="0" applyFont="1" applyFill="1" applyBorder="1" applyAlignment="1">
      <alignment horizontal="center" vertical="center" wrapText="1"/>
    </xf>
    <xf numFmtId="0" fontId="36" fillId="12" borderId="37" xfId="0" applyFont="1" applyFill="1" applyBorder="1" applyAlignment="1">
      <alignment horizontal="center" vertical="center" wrapText="1"/>
    </xf>
    <xf numFmtId="0" fontId="8" fillId="0" borderId="0" xfId="0" applyFont="1" applyAlignment="1">
      <alignment horizontal="left" vertical="center" wrapText="1"/>
    </xf>
    <xf numFmtId="0" fontId="16" fillId="8" borderId="13" xfId="0" applyFont="1" applyFill="1" applyBorder="1" applyAlignment="1">
      <alignment horizontal="center"/>
    </xf>
    <xf numFmtId="0" fontId="17" fillId="7" borderId="13" xfId="0" applyFont="1" applyFill="1" applyBorder="1" applyAlignment="1">
      <alignment horizontal="center" vertical="center" wrapText="1"/>
    </xf>
    <xf numFmtId="0" fontId="20" fillId="0" borderId="13" xfId="0" applyFont="1" applyBorder="1" applyAlignment="1">
      <alignment horizontal="left" wrapText="1"/>
    </xf>
    <xf numFmtId="0" fontId="17" fillId="7" borderId="13" xfId="0" applyFont="1" applyFill="1" applyBorder="1" applyAlignment="1">
      <alignment horizontal="center"/>
    </xf>
    <xf numFmtId="0" fontId="19" fillId="0" borderId="13" xfId="0" applyFont="1" applyBorder="1" applyAlignment="1">
      <alignment horizontal="left" wrapText="1"/>
    </xf>
    <xf numFmtId="0" fontId="7" fillId="30" borderId="0" xfId="0" applyFont="1" applyFill="1" applyAlignment="1">
      <alignment horizontal="center" vertical="center" wrapText="1"/>
    </xf>
    <xf numFmtId="0" fontId="9" fillId="5" borderId="0" xfId="0" applyFont="1" applyFill="1"/>
    <xf numFmtId="0" fontId="7" fillId="31" borderId="0" xfId="0" applyFont="1" applyFill="1" applyAlignment="1">
      <alignment horizontal="center" vertical="center" wrapText="1"/>
    </xf>
    <xf numFmtId="0" fontId="16" fillId="8" borderId="13" xfId="0" applyFont="1" applyFill="1" applyBorder="1" applyAlignment="1">
      <alignment horizontal="left" vertical="center"/>
    </xf>
    <xf numFmtId="0" fontId="46" fillId="2" borderId="48" xfId="0" applyFont="1" applyFill="1" applyBorder="1" applyAlignment="1">
      <alignment horizontal="center" vertical="center"/>
    </xf>
    <xf numFmtId="0" fontId="46" fillId="2" borderId="19" xfId="0" applyFont="1" applyFill="1" applyBorder="1" applyAlignment="1">
      <alignment horizontal="center" vertical="center" wrapText="1"/>
    </xf>
    <xf numFmtId="0" fontId="3" fillId="0" borderId="8" xfId="0" applyFont="1" applyBorder="1" applyAlignment="1">
      <alignment horizontal="center" vertical="center" wrapText="1"/>
    </xf>
    <xf numFmtId="0" fontId="51" fillId="32" borderId="0" xfId="0" applyFont="1" applyFill="1" applyAlignment="1">
      <alignment horizontal="center" vertical="center"/>
    </xf>
    <xf numFmtId="0" fontId="1" fillId="33" borderId="27" xfId="0" applyFont="1" applyFill="1" applyBorder="1" applyAlignment="1">
      <alignment horizontal="left" vertical="top"/>
    </xf>
  </cellXfs>
  <cellStyles count="1">
    <cellStyle name="Normal" xfId="0" builtinId="0"/>
  </cellStyles>
  <dxfs count="0"/>
  <tableStyles count="1" defaultTableStyle="TableStyleMedium2" defaultPivotStyle="PivotStyleLight16">
    <tableStyle name="Invisible" pivot="0" table="0" count="0" xr9:uid="{D6047872-83F1-4ECB-A14F-35663FB6C2FA}"/>
  </tableStyles>
  <colors>
    <indexedColors>
      <rgbColor rgb="FF000000"/>
      <rgbColor rgb="FFFFFFFF"/>
      <rgbColor rgb="FFFF0000"/>
      <rgbColor rgb="FF00FF00"/>
      <rgbColor rgb="FF0000FF"/>
      <rgbColor rgb="FFFFFF66"/>
      <rgbColor rgb="FFFF00FF"/>
      <rgbColor rgb="FFDCE6F2"/>
      <rgbColor rgb="FF8B0000"/>
      <rgbColor rgb="FF008000"/>
      <rgbColor rgb="FF000080"/>
      <rgbColor rgb="FFF5F5F5"/>
      <rgbColor rgb="FF6A1B9A"/>
      <rgbColor rgb="FF008080"/>
      <rgbColor rgb="FFB0B0B0"/>
      <rgbColor rgb="FFD6E4F0"/>
      <rgbColor rgb="FF95B3D7"/>
      <rgbColor rgb="FF6B2D8B"/>
      <rgbColor rgb="FFFFFFCC"/>
      <rgbColor rgb="FFCCFFFF"/>
      <rgbColor rgb="FF660066"/>
      <rgbColor rgb="FFF79646"/>
      <rgbColor rgb="FF0066CC"/>
      <rgbColor rgb="FFB9CDE5"/>
      <rgbColor rgb="FF000080"/>
      <rgbColor rgb="FFFF00FF"/>
      <rgbColor rgb="FFFDEADA"/>
      <rgbColor rgb="FFF2F2F2"/>
      <rgbColor rgb="FF800080"/>
      <rgbColor rgb="FFCC0000"/>
      <rgbColor rgb="FF008080"/>
      <rgbColor rgb="FF0000FF"/>
      <rgbColor rgb="FF00CCFF"/>
      <rgbColor rgb="FFE8F5E9"/>
      <rgbColor rgb="FFF0FFF0"/>
      <rgbColor rgb="FFFFFF99"/>
      <rgbColor rgb="FF8EB4E3"/>
      <rgbColor rgb="FFF2DCDB"/>
      <rgbColor rgb="FFD9D9D9"/>
      <rgbColor rgb="FFFCD5B5"/>
      <rgbColor rgb="FF4A6FA5"/>
      <rgbColor rgb="FF4BACC6"/>
      <rgbColor rgb="FFC9A84C"/>
      <rgbColor rgb="FFFFF0F0"/>
      <rgbColor rgb="FFFF8C00"/>
      <rgbColor rgb="FFE67E22"/>
      <rgbColor rgb="FF666666"/>
      <rgbColor rgb="FFA6A6A6"/>
      <rgbColor rgb="FF1B2A4A"/>
      <rgbColor rgb="FF2E8B57"/>
      <rgbColor rgb="FF006400"/>
      <rgbColor rgb="FF4A452A"/>
      <rgbColor rgb="FF8B4513"/>
      <rgbColor rgb="FFC0392B"/>
      <rgbColor rgb="FF2E5090"/>
      <rgbColor rgb="FF333333"/>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49"/>
  <sheetViews>
    <sheetView zoomScaleNormal="100" workbookViewId="0">
      <selection activeCell="T20" sqref="T20"/>
    </sheetView>
  </sheetViews>
  <sheetFormatPr defaultColWidth="8.7109375" defaultRowHeight="15" x14ac:dyDescent="0.25"/>
  <sheetData>
    <row r="1" spans="1:1" ht="17.25" customHeight="1" x14ac:dyDescent="0.25">
      <c r="A1" s="376" t="s">
        <v>1120</v>
      </c>
    </row>
    <row r="40" spans="1:2" ht="15" customHeight="1" x14ac:dyDescent="0.25">
      <c r="A40" s="377" t="s">
        <v>1121</v>
      </c>
    </row>
    <row r="41" spans="1:2" ht="15" customHeight="1" x14ac:dyDescent="0.25">
      <c r="A41" t="s">
        <v>1122</v>
      </c>
      <c r="B41" t="s">
        <v>1123</v>
      </c>
    </row>
    <row r="42" spans="1:2" ht="15" customHeight="1" x14ac:dyDescent="0.25">
      <c r="A42" t="s">
        <v>1124</v>
      </c>
      <c r="B42" t="s">
        <v>1125</v>
      </c>
    </row>
    <row r="43" spans="1:2" ht="15" customHeight="1" x14ac:dyDescent="0.25">
      <c r="A43" t="s">
        <v>1126</v>
      </c>
      <c r="B43" t="s">
        <v>1127</v>
      </c>
    </row>
    <row r="44" spans="1:2" ht="15" customHeight="1" x14ac:dyDescent="0.25">
      <c r="A44" t="s">
        <v>1128</v>
      </c>
      <c r="B44" t="s">
        <v>1129</v>
      </c>
    </row>
    <row r="45" spans="1:2" ht="15" customHeight="1" x14ac:dyDescent="0.25">
      <c r="A45" t="s">
        <v>1130</v>
      </c>
      <c r="B45" t="s">
        <v>1131</v>
      </c>
    </row>
    <row r="46" spans="1:2" ht="15" customHeight="1" x14ac:dyDescent="0.25">
      <c r="A46" t="s">
        <v>1132</v>
      </c>
      <c r="B46" t="s">
        <v>1133</v>
      </c>
    </row>
    <row r="47" spans="1:2" ht="15" customHeight="1" x14ac:dyDescent="0.25">
      <c r="A47" t="s">
        <v>1134</v>
      </c>
      <c r="B47" t="s">
        <v>1135</v>
      </c>
    </row>
    <row r="48" spans="1:2" ht="15" customHeight="1" x14ac:dyDescent="0.25">
      <c r="A48" t="s">
        <v>1136</v>
      </c>
      <c r="B48" t="s">
        <v>1137</v>
      </c>
    </row>
    <row r="49" spans="1:2" ht="15" customHeight="1" x14ac:dyDescent="0.25">
      <c r="A49" t="s">
        <v>1138</v>
      </c>
      <c r="B49" t="s">
        <v>1139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1"/>
  <sheetViews>
    <sheetView zoomScaleNormal="100" workbookViewId="0">
      <selection activeCell="O19" sqref="O19"/>
    </sheetView>
  </sheetViews>
  <sheetFormatPr defaultColWidth="8.7109375" defaultRowHeight="15" x14ac:dyDescent="0.25"/>
  <cols>
    <col min="1" max="1" width="1.5703125" customWidth="1"/>
    <col min="3" max="3" width="18.7109375" customWidth="1"/>
    <col min="4" max="4" width="33.28515625" customWidth="1"/>
    <col min="5" max="5" width="9.7109375" customWidth="1"/>
    <col min="7" max="7" width="6.42578125" customWidth="1"/>
    <col min="8" max="8" width="9.7109375" customWidth="1"/>
    <col min="9" max="9" width="15.7109375" customWidth="1"/>
    <col min="10" max="10" width="1.5703125" customWidth="1"/>
    <col min="13" max="13" width="8" customWidth="1"/>
  </cols>
  <sheetData>
    <row r="2" spans="2:11" ht="15" customHeight="1" x14ac:dyDescent="0.25">
      <c r="B2" s="7"/>
      <c r="C2" s="8"/>
      <c r="D2" s="8"/>
      <c r="E2" s="8"/>
      <c r="F2" s="8"/>
      <c r="G2" s="8"/>
      <c r="H2" s="8"/>
      <c r="I2" s="8"/>
      <c r="J2" s="8"/>
      <c r="K2" s="9"/>
    </row>
    <row r="3" spans="2:11" ht="30" customHeight="1" x14ac:dyDescent="0.25">
      <c r="B3" s="10"/>
      <c r="C3" s="11"/>
      <c r="D3" s="11"/>
      <c r="E3" s="391" t="s">
        <v>0</v>
      </c>
      <c r="F3" s="391"/>
      <c r="G3" s="391"/>
      <c r="H3" s="391"/>
      <c r="I3" s="391"/>
      <c r="J3" s="12"/>
      <c r="K3" s="13"/>
    </row>
    <row r="4" spans="2:11" ht="4.5" customHeight="1" x14ac:dyDescent="0.25">
      <c r="B4" s="10"/>
      <c r="C4" s="14"/>
      <c r="D4" s="14"/>
      <c r="E4" s="15"/>
      <c r="F4" s="15"/>
      <c r="G4" s="15"/>
      <c r="H4" s="15"/>
      <c r="I4" s="15"/>
      <c r="J4" s="11"/>
      <c r="K4" s="13"/>
    </row>
    <row r="5" spans="2:11" ht="13.5" customHeight="1" x14ac:dyDescent="0.25">
      <c r="B5" s="10"/>
      <c r="C5" s="11"/>
      <c r="D5" s="11"/>
      <c r="E5" s="11" t="s">
        <v>1</v>
      </c>
      <c r="F5" s="11"/>
      <c r="G5" s="11"/>
      <c r="H5" s="11"/>
      <c r="I5" s="11"/>
      <c r="J5" s="11"/>
      <c r="K5" s="13"/>
    </row>
    <row r="6" spans="2:11" ht="18" customHeight="1" x14ac:dyDescent="0.25">
      <c r="B6" s="10"/>
      <c r="C6" s="11"/>
      <c r="D6" s="11"/>
      <c r="E6" s="16" t="s">
        <v>1141</v>
      </c>
      <c r="F6" s="17"/>
      <c r="G6" s="17"/>
      <c r="H6" s="17"/>
      <c r="I6" s="17" t="b">
        <f>TRUE()</f>
        <v>1</v>
      </c>
      <c r="J6" s="11"/>
      <c r="K6" s="13"/>
    </row>
    <row r="7" spans="2:11" ht="16.5" customHeight="1" x14ac:dyDescent="0.25">
      <c r="B7" s="10"/>
      <c r="C7" s="11"/>
      <c r="D7" s="11"/>
      <c r="E7" s="18" t="s">
        <v>1142</v>
      </c>
      <c r="F7" s="17"/>
      <c r="G7" s="17"/>
      <c r="H7" s="17"/>
      <c r="I7" s="17" t="b">
        <f>FALSE()</f>
        <v>0</v>
      </c>
      <c r="J7" s="11"/>
      <c r="K7" s="13"/>
    </row>
    <row r="8" spans="2:11" ht="13.5" customHeight="1" x14ac:dyDescent="0.25">
      <c r="B8" s="10"/>
      <c r="C8" s="11"/>
      <c r="D8" s="11"/>
      <c r="E8" s="11"/>
      <c r="F8" s="11"/>
      <c r="G8" s="11"/>
      <c r="H8" s="11"/>
      <c r="I8" s="11"/>
      <c r="J8" s="11"/>
      <c r="K8" s="13"/>
    </row>
    <row r="9" spans="2:11" ht="15" customHeight="1" x14ac:dyDescent="0.25">
      <c r="B9" s="10"/>
      <c r="C9" s="11"/>
      <c r="D9" s="11"/>
      <c r="E9" s="11"/>
      <c r="F9" s="11"/>
      <c r="G9" s="11"/>
      <c r="H9" s="11"/>
      <c r="I9" s="11"/>
      <c r="J9" s="11"/>
      <c r="K9" s="13"/>
    </row>
    <row r="10" spans="2:11" ht="15" customHeight="1" x14ac:dyDescent="0.25">
      <c r="B10" s="10"/>
      <c r="C10" s="19" t="s">
        <v>2</v>
      </c>
      <c r="D10" s="20"/>
      <c r="E10" s="11"/>
      <c r="F10" s="11"/>
      <c r="G10" s="11"/>
      <c r="H10" s="11">
        <v>3</v>
      </c>
      <c r="I10" s="21"/>
      <c r="J10" s="21"/>
      <c r="K10" s="13"/>
    </row>
    <row r="11" spans="2:11" ht="15" customHeight="1" x14ac:dyDescent="0.25">
      <c r="B11" s="10"/>
      <c r="C11" s="19"/>
      <c r="D11" s="21"/>
      <c r="E11" s="21"/>
      <c r="F11" s="21"/>
      <c r="G11" s="21"/>
      <c r="H11" s="21"/>
      <c r="I11" s="21"/>
      <c r="J11" s="21"/>
      <c r="K11" s="13"/>
    </row>
    <row r="12" spans="2:11" ht="15" customHeight="1" x14ac:dyDescent="0.25">
      <c r="B12" s="22"/>
      <c r="C12" s="23" t="s">
        <v>3</v>
      </c>
      <c r="D12" s="24">
        <v>2</v>
      </c>
      <c r="E12" s="21"/>
      <c r="F12" s="25" t="s">
        <v>4</v>
      </c>
      <c r="G12" s="25"/>
      <c r="H12" s="11"/>
      <c r="I12" s="11"/>
      <c r="J12" s="11"/>
      <c r="K12" s="13"/>
    </row>
    <row r="13" spans="2:11" ht="15" customHeight="1" x14ac:dyDescent="0.25">
      <c r="B13" s="22"/>
      <c r="C13" s="21"/>
      <c r="D13" s="26"/>
      <c r="E13" s="21"/>
      <c r="F13" s="11"/>
      <c r="G13" s="11"/>
      <c r="H13" s="11"/>
      <c r="I13" s="11"/>
      <c r="J13" s="11"/>
      <c r="K13" s="13"/>
    </row>
    <row r="14" spans="2:11" ht="15" customHeight="1" x14ac:dyDescent="0.25">
      <c r="B14" s="22"/>
      <c r="C14" s="23" t="s">
        <v>5</v>
      </c>
      <c r="D14" s="6"/>
      <c r="E14" s="21"/>
      <c r="F14" s="19" t="s">
        <v>6</v>
      </c>
      <c r="G14" s="19"/>
      <c r="H14" s="392"/>
      <c r="I14" s="392"/>
      <c r="J14" s="27"/>
      <c r="K14" s="13"/>
    </row>
    <row r="15" spans="2:11" ht="15" customHeight="1" x14ac:dyDescent="0.25">
      <c r="B15" s="22"/>
      <c r="C15" s="21"/>
      <c r="D15" s="21"/>
      <c r="E15" s="21"/>
      <c r="F15" s="11"/>
      <c r="G15" s="11"/>
      <c r="H15" s="11"/>
      <c r="I15" s="11"/>
      <c r="J15" s="11"/>
      <c r="K15" s="13"/>
    </row>
    <row r="16" spans="2:11" ht="27" customHeight="1" x14ac:dyDescent="0.25">
      <c r="B16" s="22"/>
      <c r="C16" s="23" t="s">
        <v>7</v>
      </c>
      <c r="D16" s="28"/>
      <c r="E16" s="21"/>
      <c r="F16" s="19" t="s">
        <v>8</v>
      </c>
      <c r="G16" s="19"/>
      <c r="H16" s="393">
        <v>1</v>
      </c>
      <c r="I16" s="393"/>
      <c r="J16" s="29"/>
      <c r="K16" s="13"/>
    </row>
    <row r="17" spans="2:11" ht="15" customHeight="1" x14ac:dyDescent="0.25">
      <c r="B17" s="22"/>
      <c r="C17" s="21"/>
      <c r="D17" s="21"/>
      <c r="E17" s="21"/>
      <c r="F17" s="11"/>
      <c r="G17" s="11"/>
      <c r="H17" s="11"/>
      <c r="I17" s="11"/>
      <c r="J17" s="11"/>
      <c r="K17" s="13"/>
    </row>
    <row r="18" spans="2:11" ht="15" customHeight="1" x14ac:dyDescent="0.25">
      <c r="B18" s="22"/>
      <c r="C18" s="23" t="s">
        <v>9</v>
      </c>
      <c r="D18" s="30"/>
      <c r="E18" s="21"/>
      <c r="F18" s="11"/>
      <c r="G18" s="11"/>
      <c r="H18" s="11"/>
      <c r="I18" s="11"/>
      <c r="J18" s="11"/>
      <c r="K18" s="13"/>
    </row>
    <row r="19" spans="2:11" ht="15" customHeight="1" x14ac:dyDescent="0.25">
      <c r="B19" s="22"/>
      <c r="C19" s="21"/>
      <c r="D19" s="21"/>
      <c r="E19" s="21"/>
      <c r="F19" s="11"/>
      <c r="G19" s="11"/>
      <c r="H19" s="11" t="s">
        <v>10</v>
      </c>
      <c r="I19" s="11"/>
      <c r="J19" s="11"/>
      <c r="K19" s="13"/>
    </row>
    <row r="20" spans="2:11" ht="15" customHeight="1" x14ac:dyDescent="0.25">
      <c r="B20" s="22"/>
      <c r="C20" s="23" t="s">
        <v>11</v>
      </c>
      <c r="D20" s="11"/>
      <c r="E20" s="394"/>
      <c r="F20" s="394"/>
      <c r="G20" s="31"/>
      <c r="H20" s="32"/>
      <c r="I20" s="33"/>
      <c r="J20" s="34"/>
      <c r="K20" s="13"/>
    </row>
    <row r="21" spans="2:11" ht="15" customHeight="1" x14ac:dyDescent="0.25">
      <c r="B21" s="35"/>
      <c r="C21" s="36"/>
      <c r="D21" s="36"/>
      <c r="E21" s="36"/>
      <c r="F21" s="36"/>
      <c r="G21" s="36"/>
      <c r="H21" s="36"/>
      <c r="I21" s="37"/>
      <c r="J21" s="36"/>
      <c r="K21" s="38"/>
    </row>
  </sheetData>
  <mergeCells count="4">
    <mergeCell ref="E3:I3"/>
    <mergeCell ref="H14:I14"/>
    <mergeCell ref="H16:I16"/>
    <mergeCell ref="E20:F20"/>
  </mergeCells>
  <dataValidations count="6">
    <dataValidation type="date" operator="greaterThan" allowBlank="1" prompt="Enter the date when this file has been reviewed at corporate or during a peer review." sqref="H14:J14 G20" xr:uid="{00000000-0002-0000-0000-000000000000}">
      <formula1>39083</formula1>
      <formula2>0</formula2>
    </dataValidation>
    <dataValidation allowBlank="1" prompt="Full name of the reviewer." sqref="H16" xr:uid="{00000000-0002-0000-0000-000001000000}">
      <formula1>0</formula1>
      <formula2>0</formula2>
    </dataValidation>
    <dataValidation type="date" operator="greaterThan" allowBlank="1" prompt="When the information included in this bundle have been validated by the CEO of the Reporting Unit" sqref="D14" xr:uid="{00000000-0002-0000-0000-000002000000}">
      <formula1>39083</formula1>
      <formula2>0</formula2>
    </dataValidation>
    <dataValidation type="date" operator="greaterThan" allowBlank="1" prompt="Enter the date of the last meeting during which members of management committee of the RU has reviewed and monitor the list of the priority risks." sqref="E20" xr:uid="{00000000-0002-0000-0000-000003000000}">
      <formula1>36526</formula1>
      <formula2>0</formula2>
    </dataValidation>
    <dataValidation allowBlank="1" prompt="Replace by the right name in case of change" sqref="D16 D18" xr:uid="{00000000-0002-0000-0000-000004000000}">
      <formula1>0</formula1>
      <formula2>0</formula2>
    </dataValidation>
    <dataValidation allowBlank="1" prompt="Quarter of Reporting: YYYY/QQ" sqref="D10 D12" xr:uid="{00000000-0002-0000-00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84C"/>
    <pageSetUpPr fitToPage="1"/>
  </sheetPr>
  <dimension ref="A1:H62"/>
  <sheetViews>
    <sheetView zoomScaleNormal="100" workbookViewId="0">
      <selection activeCell="G4" sqref="G4"/>
    </sheetView>
  </sheetViews>
  <sheetFormatPr defaultColWidth="8.7109375" defaultRowHeight="15" x14ac:dyDescent="0.25"/>
  <cols>
    <col min="1" max="1" width="35" customWidth="1"/>
    <col min="2" max="2" width="25" customWidth="1"/>
    <col min="3" max="4" width="18" customWidth="1"/>
    <col min="5" max="5" width="45" customWidth="1"/>
    <col min="7" max="7" width="11.5703125" customWidth="1"/>
    <col min="8" max="8" width="16.28515625" customWidth="1"/>
  </cols>
  <sheetData>
    <row r="1" spans="1:8" ht="17.25" customHeight="1" x14ac:dyDescent="0.25">
      <c r="A1" s="397" t="s">
        <v>12</v>
      </c>
      <c r="B1" s="397"/>
      <c r="C1" s="397"/>
      <c r="D1" s="397"/>
      <c r="E1" s="397"/>
      <c r="G1" s="381" t="s">
        <v>1145</v>
      </c>
    </row>
    <row r="2" spans="1:8" ht="15" customHeight="1" x14ac:dyDescent="0.25">
      <c r="A2" s="398" t="s">
        <v>13</v>
      </c>
      <c r="B2" s="398"/>
      <c r="C2" s="398"/>
      <c r="D2" s="398"/>
      <c r="E2" s="398"/>
    </row>
    <row r="3" spans="1:8" x14ac:dyDescent="0.25">
      <c r="G3" s="379"/>
      <c r="H3" t="s">
        <v>1143</v>
      </c>
    </row>
    <row r="4" spans="1:8" ht="15" customHeight="1" x14ac:dyDescent="0.25">
      <c r="A4" s="395" t="s">
        <v>14</v>
      </c>
      <c r="B4" s="395"/>
      <c r="C4" s="395"/>
      <c r="D4" s="395"/>
      <c r="E4" s="395"/>
      <c r="G4" s="49"/>
      <c r="H4" t="s">
        <v>158</v>
      </c>
    </row>
    <row r="5" spans="1:8" ht="30" customHeight="1" x14ac:dyDescent="0.25">
      <c r="A5" s="39" t="s">
        <v>15</v>
      </c>
      <c r="B5" s="39" t="s">
        <v>16</v>
      </c>
      <c r="C5" s="39" t="s">
        <v>17</v>
      </c>
      <c r="D5" s="39" t="s">
        <v>18</v>
      </c>
      <c r="E5" s="39" t="s">
        <v>19</v>
      </c>
      <c r="G5" s="380"/>
      <c r="H5" t="s">
        <v>1144</v>
      </c>
    </row>
    <row r="6" spans="1:8" ht="15" customHeight="1" x14ac:dyDescent="0.25">
      <c r="A6" s="40" t="s">
        <v>20</v>
      </c>
      <c r="B6" s="378" t="s">
        <v>21</v>
      </c>
      <c r="C6" s="42">
        <v>0.25</v>
      </c>
      <c r="D6" s="43"/>
      <c r="E6" s="44" t="s">
        <v>22</v>
      </c>
    </row>
    <row r="7" spans="1:8" ht="15" customHeight="1" x14ac:dyDescent="0.25">
      <c r="A7" s="40" t="s">
        <v>23</v>
      </c>
      <c r="B7" s="378" t="s">
        <v>24</v>
      </c>
      <c r="C7" s="42">
        <v>0.2</v>
      </c>
      <c r="D7" s="43"/>
      <c r="E7" s="44" t="s">
        <v>25</v>
      </c>
    </row>
    <row r="8" spans="1:8" ht="15" customHeight="1" x14ac:dyDescent="0.25">
      <c r="A8" s="40" t="s">
        <v>26</v>
      </c>
      <c r="B8" s="378" t="s">
        <v>27</v>
      </c>
      <c r="C8" s="42">
        <v>0.2</v>
      </c>
      <c r="D8" s="43"/>
      <c r="E8" s="44" t="s">
        <v>28</v>
      </c>
    </row>
    <row r="9" spans="1:8" ht="15" customHeight="1" x14ac:dyDescent="0.25">
      <c r="A9" s="40" t="s">
        <v>29</v>
      </c>
      <c r="B9" s="378" t="s">
        <v>30</v>
      </c>
      <c r="C9" s="42">
        <v>0.15</v>
      </c>
      <c r="D9" s="43"/>
      <c r="E9" s="44" t="s">
        <v>31</v>
      </c>
    </row>
    <row r="10" spans="1:8" ht="15" customHeight="1" x14ac:dyDescent="0.25">
      <c r="A10" s="40" t="s">
        <v>32</v>
      </c>
      <c r="B10" s="378" t="s">
        <v>33</v>
      </c>
      <c r="C10" s="42">
        <v>0.1</v>
      </c>
      <c r="D10" s="43"/>
      <c r="E10" s="44" t="s">
        <v>34</v>
      </c>
    </row>
    <row r="11" spans="1:8" ht="15" customHeight="1" x14ac:dyDescent="0.25">
      <c r="A11" s="40" t="s">
        <v>35</v>
      </c>
      <c r="B11" s="378" t="s">
        <v>36</v>
      </c>
      <c r="C11" s="42">
        <v>0.1</v>
      </c>
      <c r="D11" s="43"/>
      <c r="E11" s="44" t="s">
        <v>37</v>
      </c>
    </row>
    <row r="14" spans="1:8" ht="15" customHeight="1" x14ac:dyDescent="0.25">
      <c r="A14" s="395" t="s">
        <v>38</v>
      </c>
      <c r="B14" s="395"/>
      <c r="C14" s="395"/>
      <c r="D14" s="395"/>
      <c r="E14" s="395"/>
    </row>
    <row r="15" spans="1:8" ht="30" customHeight="1" x14ac:dyDescent="0.25">
      <c r="A15" s="45" t="s">
        <v>39</v>
      </c>
      <c r="B15" s="45" t="s">
        <v>40</v>
      </c>
      <c r="C15" s="45" t="s">
        <v>41</v>
      </c>
      <c r="D15" s="45" t="s">
        <v>42</v>
      </c>
      <c r="E15" s="45" t="s">
        <v>43</v>
      </c>
    </row>
    <row r="16" spans="1:8" ht="15" customHeight="1" x14ac:dyDescent="0.25">
      <c r="A16" s="40" t="s">
        <v>44</v>
      </c>
      <c r="B16" s="46" t="s">
        <v>45</v>
      </c>
      <c r="C16" s="47">
        <f>ROUND(0.5+1.5*(C6*IF(B6="Financial Services",0.9,IF(B6="Technology",0.85,IF(B6="Healthcare",0.55,IF(B6="Manufacturing",0.4,IF(B6="Energy",0.35,IF(B6="Retail",0.5,0.3))))))+C9*IF(B9="Global",0.8,IF(B9="Multi-National",0.6,IF(B9="Regional",0.35,0.15)))+C7*IF(B7="Startup (&lt;3 years)",0.8,IF(B7="Growth (3-10 years)",0.6,IF(B7="Established (&gt;10 years)",0.4,0.25))))/(C6+C9+C7),2)</f>
        <v>1.18</v>
      </c>
      <c r="D16" s="43" t="s">
        <v>46</v>
      </c>
      <c r="E16" s="44" t="s">
        <v>47</v>
      </c>
    </row>
    <row r="17" spans="1:5" ht="15" customHeight="1" x14ac:dyDescent="0.25">
      <c r="A17" s="40" t="s">
        <v>48</v>
      </c>
      <c r="B17" s="46" t="s">
        <v>49</v>
      </c>
      <c r="C17" s="47">
        <f>ROUND(0.5+1*(C10*IF(B10="Extreme",0.9,IF(B10="Heavy",0.7,IF(B10="Moderate",0.45,0.2)))+C7*IF(B7="Legacy (&gt;50 years)",0.8,IF(B7="Established (&gt;10 years)",0.6,IF(B7="Growth (3-10 years)",0.35,0.2)))+C6*IF(B6="Financial Services",0.8,IF(B6="Technology",0.6,IF(B6="Healthcare",0.7,IF(B6="Manufacturing",0.5,IF(B6="Energy",0.7,IF(B6="Retail",0.4,0.8)))))))/(C10+C7+C6),2)</f>
        <v>1.07</v>
      </c>
      <c r="D17" s="43" t="s">
        <v>50</v>
      </c>
      <c r="E17" s="44" t="s">
        <v>51</v>
      </c>
    </row>
    <row r="18" spans="1:5" ht="15" customHeight="1" x14ac:dyDescent="0.25">
      <c r="A18" s="40" t="s">
        <v>52</v>
      </c>
      <c r="B18" s="46" t="s">
        <v>53</v>
      </c>
      <c r="C18" s="47">
        <f>ROUND(0.3+0.5*(C7*IF(B7="Startup (&lt;3 years)",0.85,IF(B7="Growth (3-10 years)",0.65,IF(B7="Established (&gt;10 years)",0.4,0.3)))+C6*IF(B6="Financial Services",0.75,IF(B6="Technology",0.7,IF(B6="Healthcare",0.5,IF(B6="Manufacturing",0.4,IF(B6="Energy",0.5,IF(B6="Retail",0.5,0.35))))))+C11*IF(B11="Basic",0.6,IF(B11="Intermediate",0.45,IF(B11="Advanced",0.35,0.3))))/(C7+C6+C11),2)</f>
        <v>0.5</v>
      </c>
      <c r="D18" s="43" t="s">
        <v>54</v>
      </c>
      <c r="E18" s="44" t="s">
        <v>55</v>
      </c>
    </row>
    <row r="19" spans="1:5" ht="15" customHeight="1" x14ac:dyDescent="0.25">
      <c r="A19" s="40" t="s">
        <v>56</v>
      </c>
      <c r="B19" s="46" t="s">
        <v>57</v>
      </c>
      <c r="C19" s="48">
        <f>ROUND(C9*IF(B9="Global",0.02,IF(B9="Multi-National",0.05,IF(B9="Regional",0.1,0.16)))+C6*IF(B6="Financial Services",0.03,IF(B6="Technology",0.05,IF(B6="Healthcare",0.08,IF(B6="Manufacturing",0.1,IF(B6="Energy",0.07,IF(B6="Retail",0.12,0.09))))))+C10*IF(B10="Extreme",0.04,IF(B10="Heavy",0.06,IF(B10="Moderate",0.1,0.15))),3)</f>
        <v>3.9E-2</v>
      </c>
      <c r="D19" s="43" t="s">
        <v>58</v>
      </c>
      <c r="E19" s="44" t="s">
        <v>59</v>
      </c>
    </row>
    <row r="20" spans="1:5" ht="15" customHeight="1" x14ac:dyDescent="0.25">
      <c r="A20" s="40" t="s">
        <v>60</v>
      </c>
      <c r="B20" s="46" t="s">
        <v>61</v>
      </c>
      <c r="C20" s="48">
        <f>ROUND(C11*IF(B11="Basic",0.28,IF(B11="Intermediate",0.2,IF(B11="Advanced",0.13,0.08)))+C6*IF(B6="Financial Services",0.12,IF(B6="Technology",0.1,IF(B6="Healthcare",0.18,IF(B6="Manufacturing",0.2,IF(B6="Energy",0.22,IF(B6="Retail",0.15,0.16))))))+C8*IF(B8="Conservative",0.2,IF(B8="Moderate",0.15,0.1)),3)</f>
        <v>9.2999999999999999E-2</v>
      </c>
      <c r="D20" s="43" t="s">
        <v>62</v>
      </c>
      <c r="E20" s="44" t="s">
        <v>63</v>
      </c>
    </row>
    <row r="21" spans="1:5" ht="15" customHeight="1" x14ac:dyDescent="0.25">
      <c r="A21" s="40" t="s">
        <v>64</v>
      </c>
      <c r="B21" s="46" t="s">
        <v>65</v>
      </c>
      <c r="C21" s="49">
        <f>ROUND((C6+C11)*IF(B6="Financial Services",10,IF(B6="Technology",9,IF(B6="Healthcare",7,IF(B6="Manufacturing",6,IF(B6="Energy",5,IF(B6="Retail",7,4))))))/(C6+C11)+C11*IF(B11="Digital-Native",1.5,IF(B11="Advanced",0.8,IF(B11="Intermediate",0.3,0)))/(C6+C11),1)</f>
        <v>6.2</v>
      </c>
      <c r="D21" s="43" t="s">
        <v>66</v>
      </c>
      <c r="E21" s="44" t="s">
        <v>67</v>
      </c>
    </row>
    <row r="22" spans="1:5" ht="15" customHeight="1" x14ac:dyDescent="0.25">
      <c r="A22" s="40" t="s">
        <v>1140</v>
      </c>
      <c r="B22" s="46" t="s">
        <v>68</v>
      </c>
      <c r="C22" s="378">
        <v>1</v>
      </c>
      <c r="D22" s="43" t="s">
        <v>46</v>
      </c>
      <c r="E22" s="44" t="s">
        <v>69</v>
      </c>
    </row>
    <row r="23" spans="1:5" ht="15" customHeight="1" x14ac:dyDescent="0.25">
      <c r="A23" s="40" t="s">
        <v>70</v>
      </c>
      <c r="B23" s="46" t="s">
        <v>71</v>
      </c>
      <c r="C23" s="49">
        <f>IF(B8="Conservative",0.3,IF(B8="Moderate",0.5,0.8))</f>
        <v>0.5</v>
      </c>
      <c r="D23" s="43" t="s">
        <v>72</v>
      </c>
      <c r="E23" s="44" t="s">
        <v>73</v>
      </c>
    </row>
    <row r="24" spans="1:5" ht="15" customHeight="1" x14ac:dyDescent="0.25">
      <c r="A24" s="40" t="s">
        <v>74</v>
      </c>
      <c r="B24" s="46" t="s">
        <v>75</v>
      </c>
      <c r="C24" s="378">
        <v>50</v>
      </c>
      <c r="D24" s="43" t="s">
        <v>76</v>
      </c>
      <c r="E24" s="44" t="s">
        <v>77</v>
      </c>
    </row>
    <row r="25" spans="1:5" ht="15" customHeight="1" x14ac:dyDescent="0.25">
      <c r="A25" s="40" t="s">
        <v>78</v>
      </c>
      <c r="B25" s="46" t="s">
        <v>79</v>
      </c>
      <c r="C25" s="378">
        <v>0.95</v>
      </c>
      <c r="D25" s="43" t="s">
        <v>80</v>
      </c>
      <c r="E25" s="44" t="s">
        <v>81</v>
      </c>
    </row>
    <row r="26" spans="1:5" ht="15" customHeight="1" x14ac:dyDescent="0.25">
      <c r="A26" s="50" t="s">
        <v>82</v>
      </c>
      <c r="B26" s="51" t="s">
        <v>83</v>
      </c>
      <c r="C26" s="49">
        <f>ROUND(1.5+1.5*(C6*IF(B6="Financial Services",0.8,IF(B6="Technology",0.7,IF(B6="Healthcare",0.4,IF(B6="Manufacturing",0.3,IF(B6="Energy",0.3,IF(B6="Retail",0.5,0.2))))))+C8*IF(B8="Aggressive",0.7,IF(B8="Moderate",0.4,0.2)))/(C6+C8),2)</f>
        <v>2.02</v>
      </c>
      <c r="D26" s="51" t="s">
        <v>84</v>
      </c>
      <c r="E26" s="51" t="s">
        <v>85</v>
      </c>
    </row>
    <row r="28" spans="1:5" ht="15" customHeight="1" x14ac:dyDescent="0.25">
      <c r="A28" s="395" t="s">
        <v>86</v>
      </c>
      <c r="B28" s="395"/>
      <c r="C28" s="395"/>
      <c r="D28" s="395"/>
      <c r="E28" s="395"/>
    </row>
    <row r="29" spans="1:5" ht="30" customHeight="1" x14ac:dyDescent="0.25">
      <c r="A29" s="45" t="s">
        <v>87</v>
      </c>
      <c r="B29" s="45" t="s">
        <v>88</v>
      </c>
      <c r="C29" s="45" t="s">
        <v>89</v>
      </c>
      <c r="D29" s="45" t="s">
        <v>90</v>
      </c>
      <c r="E29" s="45" t="s">
        <v>91</v>
      </c>
    </row>
    <row r="30" spans="1:5" ht="21.75" customHeight="1" x14ac:dyDescent="0.25">
      <c r="A30" s="40" t="s">
        <v>92</v>
      </c>
      <c r="B30" s="43" t="s">
        <v>93</v>
      </c>
      <c r="C30" s="44" t="s">
        <v>94</v>
      </c>
      <c r="D30" s="44" t="s">
        <v>95</v>
      </c>
      <c r="E30" s="44" t="s">
        <v>96</v>
      </c>
    </row>
    <row r="31" spans="1:5" ht="21.75" customHeight="1" x14ac:dyDescent="0.25">
      <c r="A31" s="40" t="s">
        <v>97</v>
      </c>
      <c r="B31" s="43" t="s">
        <v>98</v>
      </c>
      <c r="C31" s="44" t="s">
        <v>99</v>
      </c>
      <c r="D31" s="44" t="s">
        <v>100</v>
      </c>
      <c r="E31" s="44" t="s">
        <v>101</v>
      </c>
    </row>
    <row r="32" spans="1:5" ht="15" customHeight="1" x14ac:dyDescent="0.25">
      <c r="A32" s="40" t="s">
        <v>102</v>
      </c>
      <c r="B32" s="43" t="s">
        <v>103</v>
      </c>
      <c r="C32" s="44" t="s">
        <v>104</v>
      </c>
      <c r="D32" s="44" t="s">
        <v>105</v>
      </c>
      <c r="E32" s="44" t="s">
        <v>106</v>
      </c>
    </row>
    <row r="33" spans="1:5" ht="21.75" customHeight="1" x14ac:dyDescent="0.25">
      <c r="A33" s="40" t="s">
        <v>107</v>
      </c>
      <c r="B33" s="43" t="s">
        <v>108</v>
      </c>
      <c r="C33" s="44" t="s">
        <v>109</v>
      </c>
      <c r="D33" s="44" t="s">
        <v>110</v>
      </c>
      <c r="E33" s="44" t="s">
        <v>111</v>
      </c>
    </row>
    <row r="34" spans="1:5" ht="21.75" customHeight="1" x14ac:dyDescent="0.25">
      <c r="A34" s="40" t="s">
        <v>112</v>
      </c>
      <c r="B34" s="43" t="s">
        <v>113</v>
      </c>
      <c r="C34" s="44" t="s">
        <v>114</v>
      </c>
      <c r="D34" s="44" t="s">
        <v>115</v>
      </c>
      <c r="E34" s="44" t="s">
        <v>116</v>
      </c>
    </row>
    <row r="35" spans="1:5" ht="21.75" customHeight="1" x14ac:dyDescent="0.25">
      <c r="A35" s="40" t="s">
        <v>117</v>
      </c>
      <c r="B35" s="43" t="s">
        <v>117</v>
      </c>
      <c r="C35" s="44" t="s">
        <v>118</v>
      </c>
      <c r="D35" s="44" t="s">
        <v>119</v>
      </c>
      <c r="E35" s="44" t="s">
        <v>120</v>
      </c>
    </row>
    <row r="36" spans="1:5" ht="21.75" customHeight="1" x14ac:dyDescent="0.25">
      <c r="A36" s="40" t="s">
        <v>121</v>
      </c>
      <c r="B36" s="43" t="s">
        <v>122</v>
      </c>
      <c r="C36" s="44" t="s">
        <v>123</v>
      </c>
      <c r="D36" s="44" t="s">
        <v>124</v>
      </c>
      <c r="E36" s="44" t="s">
        <v>125</v>
      </c>
    </row>
    <row r="37" spans="1:5" ht="15" customHeight="1" x14ac:dyDescent="0.25">
      <c r="A37" s="40" t="s">
        <v>126</v>
      </c>
      <c r="B37" s="43" t="s">
        <v>127</v>
      </c>
      <c r="C37" s="44" t="s">
        <v>128</v>
      </c>
      <c r="D37" s="44" t="s">
        <v>129</v>
      </c>
      <c r="E37" s="44" t="s">
        <v>130</v>
      </c>
    </row>
    <row r="40" spans="1:5" ht="15" customHeight="1" x14ac:dyDescent="0.25">
      <c r="A40" s="395" t="s">
        <v>131</v>
      </c>
      <c r="B40" s="395"/>
      <c r="C40" s="395"/>
      <c r="D40" s="395"/>
      <c r="E40" s="395"/>
    </row>
    <row r="41" spans="1:5" ht="30" customHeight="1" x14ac:dyDescent="0.25">
      <c r="A41" s="45" t="s">
        <v>132</v>
      </c>
      <c r="B41" s="45" t="s">
        <v>133</v>
      </c>
      <c r="C41" s="45" t="s">
        <v>134</v>
      </c>
      <c r="D41" s="45" t="s">
        <v>135</v>
      </c>
      <c r="E41" s="45" t="s">
        <v>136</v>
      </c>
    </row>
    <row r="42" spans="1:5" ht="15" customHeight="1" x14ac:dyDescent="0.25">
      <c r="A42" s="40" t="s">
        <v>137</v>
      </c>
      <c r="B42" s="44" t="s">
        <v>138</v>
      </c>
      <c r="C42" s="43" t="s">
        <v>139</v>
      </c>
      <c r="D42" s="43" t="s">
        <v>140</v>
      </c>
      <c r="E42" s="44" t="s">
        <v>141</v>
      </c>
    </row>
    <row r="43" spans="1:5" ht="15" customHeight="1" x14ac:dyDescent="0.25">
      <c r="A43" s="40" t="s">
        <v>142</v>
      </c>
      <c r="B43" s="44" t="s">
        <v>143</v>
      </c>
      <c r="C43" s="43" t="s">
        <v>144</v>
      </c>
      <c r="D43" s="43" t="s">
        <v>140</v>
      </c>
      <c r="E43" s="44" t="s">
        <v>145</v>
      </c>
    </row>
    <row r="44" spans="1:5" ht="15" customHeight="1" x14ac:dyDescent="0.25">
      <c r="A44" s="40" t="s">
        <v>146</v>
      </c>
      <c r="B44" s="44" t="s">
        <v>147</v>
      </c>
      <c r="C44" s="43" t="s">
        <v>148</v>
      </c>
      <c r="D44" s="43" t="s">
        <v>140</v>
      </c>
      <c r="E44" s="44" t="s">
        <v>149</v>
      </c>
    </row>
    <row r="45" spans="1:5" ht="15" customHeight="1" x14ac:dyDescent="0.25">
      <c r="A45" s="40" t="s">
        <v>150</v>
      </c>
      <c r="B45" s="44" t="s">
        <v>151</v>
      </c>
      <c r="C45" s="43" t="s">
        <v>139</v>
      </c>
      <c r="D45" s="43" t="s">
        <v>140</v>
      </c>
      <c r="E45" s="44" t="s">
        <v>152</v>
      </c>
    </row>
    <row r="46" spans="1:5" ht="15" customHeight="1" x14ac:dyDescent="0.25">
      <c r="A46" s="40" t="s">
        <v>153</v>
      </c>
      <c r="B46" s="44" t="s">
        <v>154</v>
      </c>
      <c r="C46" s="43" t="s">
        <v>139</v>
      </c>
      <c r="D46" s="43" t="s">
        <v>140</v>
      </c>
      <c r="E46" s="44" t="s">
        <v>155</v>
      </c>
    </row>
    <row r="47" spans="1:5" ht="15" customHeight="1" x14ac:dyDescent="0.25">
      <c r="A47" s="40" t="s">
        <v>156</v>
      </c>
      <c r="B47" s="44" t="s">
        <v>157</v>
      </c>
      <c r="C47" s="43" t="s">
        <v>144</v>
      </c>
      <c r="D47" s="43" t="s">
        <v>158</v>
      </c>
      <c r="E47" s="44" t="s">
        <v>159</v>
      </c>
    </row>
    <row r="48" spans="1:5" ht="15" customHeight="1" x14ac:dyDescent="0.25">
      <c r="A48" s="40" t="s">
        <v>160</v>
      </c>
      <c r="B48" s="44" t="s">
        <v>161</v>
      </c>
      <c r="C48" s="43" t="s">
        <v>144</v>
      </c>
      <c r="D48" s="43" t="s">
        <v>158</v>
      </c>
      <c r="E48" s="44" t="s">
        <v>159</v>
      </c>
    </row>
    <row r="49" spans="1:5" ht="21.75" customHeight="1" x14ac:dyDescent="0.25">
      <c r="A49" s="40" t="s">
        <v>162</v>
      </c>
      <c r="B49" s="44" t="s">
        <v>163</v>
      </c>
      <c r="C49" s="43" t="s">
        <v>144</v>
      </c>
      <c r="D49" s="43" t="s">
        <v>140</v>
      </c>
      <c r="E49" s="44" t="s">
        <v>25</v>
      </c>
    </row>
    <row r="50" spans="1:5" ht="21.75" customHeight="1" x14ac:dyDescent="0.25">
      <c r="A50" s="40" t="s">
        <v>87</v>
      </c>
      <c r="B50" s="44" t="s">
        <v>164</v>
      </c>
      <c r="C50" s="43" t="s">
        <v>165</v>
      </c>
      <c r="D50" s="43" t="s">
        <v>140</v>
      </c>
      <c r="E50" s="44" t="s">
        <v>166</v>
      </c>
    </row>
    <row r="53" spans="1:5" ht="15" customHeight="1" x14ac:dyDescent="0.25">
      <c r="A53" s="396" t="s">
        <v>167</v>
      </c>
      <c r="B53" s="396"/>
      <c r="C53" s="396"/>
      <c r="D53" s="396"/>
      <c r="E53" s="396"/>
    </row>
    <row r="54" spans="1:5" ht="15" customHeight="1" x14ac:dyDescent="0.25">
      <c r="A54" s="52" t="s">
        <v>39</v>
      </c>
      <c r="B54" s="52" t="s">
        <v>168</v>
      </c>
      <c r="C54" s="52" t="s">
        <v>169</v>
      </c>
      <c r="D54" s="52" t="s">
        <v>170</v>
      </c>
    </row>
    <row r="55" spans="1:5" ht="42.75" customHeight="1" x14ac:dyDescent="0.25">
      <c r="A55" s="53" t="s">
        <v>171</v>
      </c>
      <c r="B55" s="54" t="s">
        <v>172</v>
      </c>
      <c r="C55" s="55" t="s">
        <v>173</v>
      </c>
      <c r="D55" s="56">
        <f t="shared" ref="D55:D60" si="0">C16</f>
        <v>1.18</v>
      </c>
    </row>
    <row r="56" spans="1:5" ht="42.75" customHeight="1" x14ac:dyDescent="0.25">
      <c r="A56" s="53" t="s">
        <v>174</v>
      </c>
      <c r="B56" s="54" t="s">
        <v>175</v>
      </c>
      <c r="C56" s="55" t="s">
        <v>176</v>
      </c>
      <c r="D56" s="56">
        <f t="shared" si="0"/>
        <v>1.07</v>
      </c>
    </row>
    <row r="57" spans="1:5" ht="42.75" customHeight="1" x14ac:dyDescent="0.25">
      <c r="A57" s="53" t="s">
        <v>177</v>
      </c>
      <c r="B57" s="54" t="s">
        <v>178</v>
      </c>
      <c r="C57" s="55" t="s">
        <v>179</v>
      </c>
      <c r="D57" s="56">
        <f t="shared" si="0"/>
        <v>0.5</v>
      </c>
    </row>
    <row r="58" spans="1:5" ht="32.25" customHeight="1" x14ac:dyDescent="0.25">
      <c r="A58" s="53" t="s">
        <v>180</v>
      </c>
      <c r="B58" s="54" t="s">
        <v>181</v>
      </c>
      <c r="C58" s="55" t="s">
        <v>182</v>
      </c>
      <c r="D58" s="56">
        <f t="shared" si="0"/>
        <v>3.9E-2</v>
      </c>
    </row>
    <row r="59" spans="1:5" ht="32.25" customHeight="1" x14ac:dyDescent="0.25">
      <c r="A59" s="53" t="s">
        <v>183</v>
      </c>
      <c r="B59" s="54" t="s">
        <v>184</v>
      </c>
      <c r="C59" s="55" t="s">
        <v>185</v>
      </c>
      <c r="D59" s="56">
        <f t="shared" si="0"/>
        <v>9.2999999999999999E-2</v>
      </c>
    </row>
    <row r="60" spans="1:5" ht="32.25" customHeight="1" x14ac:dyDescent="0.25">
      <c r="A60" s="53" t="s">
        <v>65</v>
      </c>
      <c r="B60" s="54" t="s">
        <v>186</v>
      </c>
      <c r="C60" s="55" t="s">
        <v>187</v>
      </c>
      <c r="D60" s="56">
        <f t="shared" si="0"/>
        <v>6.2</v>
      </c>
    </row>
    <row r="61" spans="1:5" ht="42.75" customHeight="1" x14ac:dyDescent="0.25">
      <c r="A61" s="53" t="s">
        <v>71</v>
      </c>
      <c r="B61" s="54" t="s">
        <v>188</v>
      </c>
      <c r="C61" s="55" t="s">
        <v>189</v>
      </c>
      <c r="D61" s="56">
        <f>C23</f>
        <v>0.5</v>
      </c>
    </row>
    <row r="62" spans="1:5" ht="42.75" customHeight="1" x14ac:dyDescent="0.25">
      <c r="A62" s="53" t="s">
        <v>190</v>
      </c>
      <c r="B62" s="54" t="s">
        <v>191</v>
      </c>
      <c r="C62" s="55" t="s">
        <v>192</v>
      </c>
      <c r="D62" s="56">
        <f>C26</f>
        <v>2.02</v>
      </c>
    </row>
  </sheetData>
  <mergeCells count="7">
    <mergeCell ref="A40:E40"/>
    <mergeCell ref="A53:E53"/>
    <mergeCell ref="A1:E1"/>
    <mergeCell ref="A2:E2"/>
    <mergeCell ref="A4:E4"/>
    <mergeCell ref="A14:E14"/>
    <mergeCell ref="A28:E28"/>
  </mergeCells>
  <dataValidations count="6">
    <dataValidation type="list" sqref="B6" xr:uid="{00000000-0002-0000-0100-000000000000}">
      <formula1>"Technology,Financial Services,Manufacturing,Healthcare,Energy,Retail,Aerospace &amp; Defense"</formula1>
      <formula2>0</formula2>
    </dataValidation>
    <dataValidation type="list" sqref="B7" xr:uid="{00000000-0002-0000-0100-000001000000}">
      <formula1>"Startup (&lt;3 years),Growth (3-10 years),Established (&gt;10 years),Legacy (&gt;50 years)"</formula1>
      <formula2>0</formula2>
    </dataValidation>
    <dataValidation type="list" sqref="B8" xr:uid="{00000000-0002-0000-0100-000002000000}">
      <formula1>"Conservative,Moderate,Aggressive"</formula1>
      <formula2>0</formula2>
    </dataValidation>
    <dataValidation type="list" sqref="B9" xr:uid="{00000000-0002-0000-0100-000003000000}">
      <formula1>"Single Market,Regional,Multi-National,Global"</formula1>
      <formula2>0</formula2>
    </dataValidation>
    <dataValidation type="list" sqref="B10" xr:uid="{00000000-0002-0000-0100-000004000000}">
      <formula1>"Light,Moderate,Heavy,Extreme"</formula1>
      <formula2>0</formula2>
    </dataValidation>
    <dataValidation type="list" sqref="B11" xr:uid="{00000000-0002-0000-0100-000005000000}">
      <formula1>"Basic,Intermediate,Advanced,Digital-Native"</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2A4A"/>
    <pageSetUpPr fitToPage="1"/>
  </sheetPr>
  <dimension ref="A1:G53"/>
  <sheetViews>
    <sheetView topLeftCell="A19" zoomScaleNormal="100" workbookViewId="0">
      <selection activeCell="B28" sqref="B28"/>
    </sheetView>
  </sheetViews>
  <sheetFormatPr defaultColWidth="8.7109375" defaultRowHeight="15" x14ac:dyDescent="0.25"/>
  <cols>
    <col min="1" max="1" width="30" customWidth="1"/>
    <col min="2" max="5" width="18" customWidth="1"/>
    <col min="6" max="6" width="14" customWidth="1"/>
    <col min="7" max="7" width="30" customWidth="1"/>
  </cols>
  <sheetData>
    <row r="1" spans="1:7" ht="17.25" customHeight="1" x14ac:dyDescent="0.25">
      <c r="A1" s="399" t="s">
        <v>193</v>
      </c>
      <c r="B1" s="399"/>
      <c r="C1" s="399"/>
      <c r="D1" s="399"/>
      <c r="E1" s="399"/>
      <c r="F1" s="399"/>
      <c r="G1" s="399"/>
    </row>
    <row r="2" spans="1:7" ht="15" customHeight="1" x14ac:dyDescent="0.25">
      <c r="A2" s="400" t="s">
        <v>194</v>
      </c>
      <c r="B2" s="400"/>
      <c r="C2" s="400"/>
      <c r="D2" s="400"/>
      <c r="E2" s="400"/>
      <c r="F2" s="400"/>
      <c r="G2" s="400"/>
    </row>
    <row r="4" spans="1:7" ht="15" customHeight="1" x14ac:dyDescent="0.25">
      <c r="A4" s="395" t="s">
        <v>195</v>
      </c>
      <c r="B4" s="395"/>
      <c r="C4" s="395"/>
      <c r="D4" s="395"/>
      <c r="E4" s="395"/>
      <c r="F4" s="395"/>
      <c r="G4" s="395"/>
    </row>
    <row r="5" spans="1:7" ht="30" customHeight="1" x14ac:dyDescent="0.25">
      <c r="A5" s="45" t="s">
        <v>196</v>
      </c>
      <c r="B5" s="45" t="s">
        <v>41</v>
      </c>
      <c r="C5" s="45" t="s">
        <v>197</v>
      </c>
      <c r="D5" s="45" t="s">
        <v>198</v>
      </c>
      <c r="E5" s="45" t="s">
        <v>199</v>
      </c>
      <c r="F5" s="45" t="s">
        <v>200</v>
      </c>
      <c r="G5" s="45" t="s">
        <v>136</v>
      </c>
    </row>
    <row r="6" spans="1:7" ht="15" customHeight="1" x14ac:dyDescent="0.25">
      <c r="A6" s="40" t="s">
        <v>201</v>
      </c>
      <c r="B6" s="384" t="s">
        <v>202</v>
      </c>
      <c r="C6" s="43"/>
      <c r="D6" s="43"/>
      <c r="E6" s="43"/>
      <c r="F6" s="43"/>
      <c r="G6" s="44" t="s">
        <v>203</v>
      </c>
    </row>
    <row r="7" spans="1:7" ht="15" customHeight="1" x14ac:dyDescent="0.25">
      <c r="A7" s="40" t="s">
        <v>204</v>
      </c>
      <c r="B7" s="384" t="s">
        <v>205</v>
      </c>
      <c r="C7" s="43"/>
      <c r="D7" s="43"/>
      <c r="E7" s="43"/>
      <c r="F7" s="43"/>
      <c r="G7" s="44" t="s">
        <v>206</v>
      </c>
    </row>
    <row r="8" spans="1:7" ht="15" customHeight="1" x14ac:dyDescent="0.25">
      <c r="A8" s="40" t="s">
        <v>207</v>
      </c>
      <c r="B8" s="57">
        <v>1000</v>
      </c>
      <c r="C8" s="43" t="s">
        <v>208</v>
      </c>
      <c r="D8" s="43">
        <v>1</v>
      </c>
      <c r="E8" s="43">
        <v>10000</v>
      </c>
      <c r="F8" s="43">
        <v>1000</v>
      </c>
      <c r="G8" s="44" t="s">
        <v>209</v>
      </c>
    </row>
    <row r="9" spans="1:7" ht="15" customHeight="1" x14ac:dyDescent="0.25">
      <c r="A9" s="40" t="s">
        <v>78</v>
      </c>
      <c r="B9" s="58">
        <v>0.95</v>
      </c>
      <c r="C9" s="43"/>
      <c r="D9" s="43">
        <v>0.8</v>
      </c>
      <c r="E9" s="43">
        <v>0.99</v>
      </c>
      <c r="F9" s="43">
        <v>0.95</v>
      </c>
      <c r="G9" s="44" t="s">
        <v>210</v>
      </c>
    </row>
    <row r="10" spans="1:7" ht="15" customHeight="1" x14ac:dyDescent="0.25">
      <c r="A10" s="40" t="s">
        <v>211</v>
      </c>
      <c r="B10" s="57">
        <v>50</v>
      </c>
      <c r="C10" s="43"/>
      <c r="D10" s="43">
        <v>10</v>
      </c>
      <c r="E10" s="43">
        <v>1000</v>
      </c>
      <c r="F10" s="43">
        <v>50</v>
      </c>
      <c r="G10" s="44" t="s">
        <v>212</v>
      </c>
    </row>
    <row r="11" spans="1:7" ht="15" customHeight="1" x14ac:dyDescent="0.25">
      <c r="A11" s="40" t="s">
        <v>213</v>
      </c>
      <c r="B11" s="382">
        <f>Calibration!C20</f>
        <v>9.2999999999999999E-2</v>
      </c>
      <c r="C11" s="43"/>
      <c r="D11" s="43">
        <v>0</v>
      </c>
      <c r="E11" s="43">
        <v>0.5</v>
      </c>
      <c r="F11" s="43">
        <v>0.15</v>
      </c>
      <c r="G11" s="44" t="s">
        <v>63</v>
      </c>
    </row>
    <row r="12" spans="1:7" ht="15" customHeight="1" x14ac:dyDescent="0.25">
      <c r="A12" s="40" t="s">
        <v>214</v>
      </c>
      <c r="B12" s="58">
        <v>0.7</v>
      </c>
      <c r="C12" s="43"/>
      <c r="D12" s="43">
        <v>0</v>
      </c>
      <c r="E12" s="43">
        <v>1</v>
      </c>
      <c r="F12" s="43">
        <v>0.7</v>
      </c>
      <c r="G12" s="44" t="s">
        <v>215</v>
      </c>
    </row>
    <row r="13" spans="1:7" ht="15" customHeight="1" x14ac:dyDescent="0.25">
      <c r="A13" s="40" t="s">
        <v>56</v>
      </c>
      <c r="B13" s="382">
        <f>Calibration!C19</f>
        <v>3.9E-2</v>
      </c>
      <c r="C13" s="43"/>
      <c r="D13" s="43">
        <v>0</v>
      </c>
      <c r="E13" s="43">
        <v>0.2</v>
      </c>
      <c r="F13" s="43">
        <v>0.05</v>
      </c>
      <c r="G13" s="44" t="s">
        <v>216</v>
      </c>
    </row>
    <row r="14" spans="1:7" ht="15" customHeight="1" x14ac:dyDescent="0.25">
      <c r="A14" s="40" t="s">
        <v>217</v>
      </c>
      <c r="B14" s="57">
        <v>1</v>
      </c>
      <c r="C14" s="43"/>
      <c r="D14" s="43">
        <v>0.5</v>
      </c>
      <c r="E14" s="43">
        <v>2</v>
      </c>
      <c r="F14" s="43">
        <v>1</v>
      </c>
      <c r="G14" s="44" t="s">
        <v>69</v>
      </c>
    </row>
    <row r="15" spans="1:7" ht="15" customHeight="1" x14ac:dyDescent="0.25">
      <c r="A15" s="40" t="s">
        <v>64</v>
      </c>
      <c r="B15" s="383">
        <f>Calibration!C21</f>
        <v>6.2</v>
      </c>
      <c r="C15" s="43"/>
      <c r="D15" s="43">
        <v>3</v>
      </c>
      <c r="E15" s="43">
        <v>10</v>
      </c>
      <c r="F15" s="43">
        <v>8</v>
      </c>
      <c r="G15" s="44" t="s">
        <v>218</v>
      </c>
    </row>
    <row r="16" spans="1:7" ht="15" customHeight="1" x14ac:dyDescent="0.25">
      <c r="A16" s="40" t="s">
        <v>26</v>
      </c>
      <c r="B16" s="382">
        <f>Calibration!C23</f>
        <v>0.5</v>
      </c>
      <c r="C16" s="43"/>
      <c r="D16" s="43">
        <v>0.1</v>
      </c>
      <c r="E16" s="43">
        <v>0.9</v>
      </c>
      <c r="F16" s="43">
        <v>0.5</v>
      </c>
      <c r="G16" s="44" t="s">
        <v>73</v>
      </c>
    </row>
    <row r="19" spans="1:7" ht="15" customHeight="1" x14ac:dyDescent="0.25">
      <c r="A19" s="395" t="s">
        <v>219</v>
      </c>
      <c r="B19" s="395"/>
      <c r="C19" s="395"/>
      <c r="D19" s="395"/>
      <c r="E19" s="395"/>
      <c r="F19" s="395"/>
      <c r="G19" s="395"/>
    </row>
    <row r="20" spans="1:7" ht="15" customHeight="1" x14ac:dyDescent="0.25">
      <c r="A20" s="59" t="s">
        <v>220</v>
      </c>
      <c r="B20" s="401" t="s">
        <v>1146</v>
      </c>
      <c r="C20" s="401"/>
      <c r="D20" s="401"/>
      <c r="E20" s="401"/>
      <c r="F20" s="401"/>
      <c r="G20" s="401"/>
    </row>
    <row r="21" spans="1:7" ht="30" customHeight="1" x14ac:dyDescent="0.25">
      <c r="A21" s="45" t="s">
        <v>208</v>
      </c>
      <c r="B21" s="45" t="s">
        <v>221</v>
      </c>
      <c r="C21" s="45" t="s">
        <v>222</v>
      </c>
      <c r="D21" s="45"/>
      <c r="E21" s="45"/>
      <c r="F21" s="45"/>
      <c r="G21" s="45"/>
    </row>
    <row r="22" spans="1:7" ht="15" customHeight="1" x14ac:dyDescent="0.25">
      <c r="A22" s="60">
        <v>0.5</v>
      </c>
      <c r="B22" s="49">
        <f t="shared" ref="B22:B27" si="0">MIN(20,MAX(1,2*LN(A22+1)))</f>
        <v>1</v>
      </c>
      <c r="C22" s="43" t="s">
        <v>223</v>
      </c>
      <c r="D22" s="43"/>
      <c r="E22" s="43"/>
      <c r="F22" s="43"/>
      <c r="G22" s="43"/>
    </row>
    <row r="23" spans="1:7" ht="15" customHeight="1" x14ac:dyDescent="0.25">
      <c r="A23" s="60">
        <v>5</v>
      </c>
      <c r="B23" s="49">
        <f t="shared" si="0"/>
        <v>3.5835189384561099</v>
      </c>
      <c r="C23" s="43" t="s">
        <v>1147</v>
      </c>
      <c r="D23" s="43"/>
      <c r="E23" s="43"/>
      <c r="F23" s="43"/>
      <c r="G23" s="43"/>
    </row>
    <row r="24" spans="1:7" ht="15" customHeight="1" x14ac:dyDescent="0.25">
      <c r="A24" s="60">
        <v>25</v>
      </c>
      <c r="B24" s="49">
        <f t="shared" si="0"/>
        <v>6.5161930760429643</v>
      </c>
      <c r="C24" s="43" t="s">
        <v>27</v>
      </c>
      <c r="D24" s="43"/>
      <c r="E24" s="43"/>
      <c r="F24" s="43"/>
      <c r="G24" s="43"/>
    </row>
    <row r="25" spans="1:7" ht="15" customHeight="1" x14ac:dyDescent="0.25">
      <c r="A25" s="60">
        <v>100</v>
      </c>
      <c r="B25" s="49">
        <f t="shared" si="0"/>
        <v>9.2302410336825194</v>
      </c>
      <c r="C25" s="43" t="s">
        <v>224</v>
      </c>
      <c r="D25" s="43"/>
      <c r="E25" s="43"/>
      <c r="F25" s="43"/>
      <c r="G25" s="43"/>
    </row>
    <row r="26" spans="1:7" ht="15" customHeight="1" x14ac:dyDescent="0.25">
      <c r="A26" s="60">
        <v>500</v>
      </c>
      <c r="B26" s="49">
        <f t="shared" si="0"/>
        <v>12.433212202169729</v>
      </c>
      <c r="C26" s="43" t="s">
        <v>225</v>
      </c>
      <c r="D26" s="43"/>
      <c r="E26" s="43"/>
      <c r="F26" s="43"/>
      <c r="G26" s="43"/>
    </row>
    <row r="27" spans="1:7" ht="15" customHeight="1" x14ac:dyDescent="0.25">
      <c r="A27" s="60">
        <v>1000</v>
      </c>
      <c r="B27" s="49">
        <f t="shared" si="0"/>
        <v>13.817509558630441</v>
      </c>
      <c r="C27" s="43" t="s">
        <v>226</v>
      </c>
      <c r="D27" s="43"/>
      <c r="E27" s="43"/>
      <c r="F27" s="43"/>
      <c r="G27" s="43"/>
    </row>
    <row r="28" spans="1:7" x14ac:dyDescent="0.25">
      <c r="A28" s="60">
        <v>2000</v>
      </c>
      <c r="B28" s="49">
        <f>MIN(20,MAX(1,2*LN(A28+1)))</f>
        <v>15.202804669167467</v>
      </c>
      <c r="C28" s="43" t="s">
        <v>227</v>
      </c>
    </row>
    <row r="30" spans="1:7" ht="15" customHeight="1" x14ac:dyDescent="0.25">
      <c r="A30" s="395" t="s">
        <v>228</v>
      </c>
      <c r="B30" s="395"/>
      <c r="C30" s="395"/>
      <c r="D30" s="395"/>
      <c r="E30" s="395"/>
      <c r="F30" s="395"/>
      <c r="G30" s="395"/>
    </row>
    <row r="31" spans="1:7" ht="30" customHeight="1" x14ac:dyDescent="0.25">
      <c r="A31" s="45" t="s">
        <v>229</v>
      </c>
      <c r="B31" s="45" t="s">
        <v>17</v>
      </c>
      <c r="C31" s="45" t="s">
        <v>221</v>
      </c>
      <c r="D31" s="45" t="s">
        <v>230</v>
      </c>
      <c r="E31" s="45"/>
      <c r="F31" s="45"/>
      <c r="G31" s="45"/>
    </row>
    <row r="32" spans="1:7" ht="15" customHeight="1" x14ac:dyDescent="0.25">
      <c r="A32" s="40" t="s">
        <v>231</v>
      </c>
      <c r="B32" s="62">
        <v>0.35</v>
      </c>
      <c r="C32" s="63">
        <f>Company_RI!D10</f>
        <v>7.2</v>
      </c>
      <c r="D32" s="61">
        <f>B32*C32</f>
        <v>2.52</v>
      </c>
      <c r="E32" s="43"/>
      <c r="F32" s="43"/>
      <c r="G32" s="43"/>
    </row>
    <row r="33" spans="1:7" ht="15" customHeight="1" x14ac:dyDescent="0.25">
      <c r="A33" s="40" t="s">
        <v>232</v>
      </c>
      <c r="B33" s="62">
        <v>0.25</v>
      </c>
      <c r="C33" s="63">
        <f>Company_RI!D11</f>
        <v>6.5</v>
      </c>
      <c r="D33" s="61">
        <f>B33*C33</f>
        <v>1.625</v>
      </c>
      <c r="E33" s="43"/>
      <c r="F33" s="43"/>
      <c r="G33" s="43"/>
    </row>
    <row r="34" spans="1:7" ht="15" customHeight="1" x14ac:dyDescent="0.25">
      <c r="A34" s="40" t="s">
        <v>233</v>
      </c>
      <c r="B34" s="62">
        <v>0.2</v>
      </c>
      <c r="C34" s="63">
        <f>Company_RI!D12</f>
        <v>7.8</v>
      </c>
      <c r="D34" s="61">
        <f>B34*C34</f>
        <v>1.56</v>
      </c>
      <c r="E34" s="43"/>
      <c r="F34" s="43"/>
      <c r="G34" s="43"/>
    </row>
    <row r="35" spans="1:7" ht="15" customHeight="1" x14ac:dyDescent="0.25">
      <c r="A35" s="40" t="s">
        <v>234</v>
      </c>
      <c r="B35" s="62">
        <v>0.2</v>
      </c>
      <c r="C35" s="63">
        <f>Company_RI!D13</f>
        <v>5.9</v>
      </c>
      <c r="D35" s="61">
        <f>B35*C35</f>
        <v>1.1800000000000002</v>
      </c>
      <c r="E35" s="43"/>
      <c r="F35" s="43"/>
      <c r="G35" s="43"/>
    </row>
    <row r="36" spans="1:7" ht="15" customHeight="1" x14ac:dyDescent="0.25">
      <c r="A36" s="64" t="s">
        <v>235</v>
      </c>
      <c r="B36" s="43"/>
      <c r="C36" s="43"/>
      <c r="D36" s="65">
        <f>SUM(D32:D35)</f>
        <v>6.8849999999999998</v>
      </c>
      <c r="E36" s="43"/>
      <c r="F36" s="43" t="s">
        <v>236</v>
      </c>
      <c r="G36" s="43"/>
    </row>
    <row r="38" spans="1:7" ht="15" customHeight="1" x14ac:dyDescent="0.25">
      <c r="A38" s="395" t="s">
        <v>237</v>
      </c>
      <c r="B38" s="395"/>
      <c r="C38" s="395"/>
      <c r="D38" s="395"/>
      <c r="E38" s="395"/>
      <c r="F38" s="395"/>
      <c r="G38" s="395"/>
    </row>
    <row r="39" spans="1:7" ht="30" customHeight="1" x14ac:dyDescent="0.25">
      <c r="A39" s="45" t="s">
        <v>229</v>
      </c>
      <c r="B39" s="45" t="s">
        <v>17</v>
      </c>
      <c r="C39" s="45" t="s">
        <v>221</v>
      </c>
      <c r="D39" s="45" t="s">
        <v>230</v>
      </c>
      <c r="E39" s="45"/>
      <c r="F39" s="45"/>
      <c r="G39" s="45"/>
    </row>
    <row r="40" spans="1:7" ht="15" customHeight="1" x14ac:dyDescent="0.25">
      <c r="A40" s="40" t="s">
        <v>238</v>
      </c>
      <c r="B40" s="62">
        <v>0.3</v>
      </c>
      <c r="C40" s="63">
        <f>Company_SMI!D10</f>
        <v>6.8</v>
      </c>
      <c r="D40" s="61">
        <f>B40*C40</f>
        <v>2.04</v>
      </c>
      <c r="E40" s="43"/>
      <c r="F40" s="43"/>
      <c r="G40" s="43"/>
    </row>
    <row r="41" spans="1:7" ht="15" customHeight="1" x14ac:dyDescent="0.25">
      <c r="A41" s="40" t="s">
        <v>239</v>
      </c>
      <c r="B41" s="62">
        <v>0.3</v>
      </c>
      <c r="C41" s="63">
        <f>Company_SMI!D11</f>
        <v>7.1</v>
      </c>
      <c r="D41" s="61">
        <f>B41*C41</f>
        <v>2.13</v>
      </c>
      <c r="E41" s="43"/>
      <c r="F41" s="43"/>
      <c r="G41" s="43"/>
    </row>
    <row r="42" spans="1:7" ht="15" customHeight="1" x14ac:dyDescent="0.25">
      <c r="A42" s="40" t="s">
        <v>240</v>
      </c>
      <c r="B42" s="62">
        <v>0.25</v>
      </c>
      <c r="C42" s="63">
        <f>Company_SMI!D12</f>
        <v>5.5</v>
      </c>
      <c r="D42" s="61">
        <f>B42*C42</f>
        <v>1.375</v>
      </c>
      <c r="E42" s="43"/>
      <c r="F42" s="43"/>
      <c r="G42" s="43"/>
    </row>
    <row r="43" spans="1:7" ht="15" customHeight="1" x14ac:dyDescent="0.25">
      <c r="A43" s="40" t="s">
        <v>241</v>
      </c>
      <c r="B43" s="62">
        <v>0.15</v>
      </c>
      <c r="C43" s="63">
        <f>Company_SMI!D13</f>
        <v>6.2</v>
      </c>
      <c r="D43" s="61">
        <f>B43*C43</f>
        <v>0.92999999999999994</v>
      </c>
      <c r="E43" s="43"/>
      <c r="F43" s="43"/>
      <c r="G43" s="43"/>
    </row>
    <row r="44" spans="1:7" ht="26.25" customHeight="1" x14ac:dyDescent="0.25">
      <c r="A44" s="45" t="s">
        <v>242</v>
      </c>
      <c r="B44" s="43"/>
      <c r="C44" s="43"/>
      <c r="D44" s="66">
        <f>SUM(D40:D43)</f>
        <v>6.4749999999999996</v>
      </c>
      <c r="E44" s="43"/>
      <c r="F44" s="43" t="s">
        <v>236</v>
      </c>
      <c r="G44" s="43"/>
    </row>
    <row r="46" spans="1:7" ht="15" customHeight="1" x14ac:dyDescent="0.25">
      <c r="A46" s="395" t="s">
        <v>243</v>
      </c>
      <c r="B46" s="395"/>
      <c r="C46" s="395"/>
      <c r="D46" s="395"/>
      <c r="E46" s="395"/>
      <c r="F46" s="395"/>
      <c r="G46" s="395"/>
    </row>
    <row r="47" spans="1:7" ht="30" customHeight="1" x14ac:dyDescent="0.25">
      <c r="A47" s="45" t="s">
        <v>244</v>
      </c>
      <c r="B47" s="45" t="s">
        <v>41</v>
      </c>
      <c r="C47" s="45" t="s">
        <v>222</v>
      </c>
      <c r="D47" s="45"/>
      <c r="E47" s="45"/>
      <c r="F47" s="45"/>
      <c r="G47" s="45"/>
    </row>
    <row r="48" spans="1:7" ht="15" customHeight="1" x14ac:dyDescent="0.25">
      <c r="A48" s="40" t="s">
        <v>245</v>
      </c>
      <c r="B48" s="61">
        <f>D36</f>
        <v>6.8849999999999998</v>
      </c>
      <c r="C48" s="402" t="str">
        <f>IF(D36&gt;=7,"High Resilience",IF(D36&gt;=4,"Moderate","Low"))</f>
        <v>Moderate</v>
      </c>
      <c r="D48" s="402"/>
      <c r="E48" s="402"/>
      <c r="F48" s="402"/>
      <c r="G48" s="402"/>
    </row>
    <row r="49" spans="1:7" ht="15" customHeight="1" x14ac:dyDescent="0.25">
      <c r="A49" s="40" t="s">
        <v>246</v>
      </c>
      <c r="B49" s="61">
        <f>D44</f>
        <v>6.4749999999999996</v>
      </c>
      <c r="C49" s="402" t="str">
        <f>IF(D44&gt;=7,"High Mobility",IF(D44&gt;=4,"Moderate","Low"))</f>
        <v>Moderate</v>
      </c>
      <c r="D49" s="402"/>
      <c r="E49" s="402"/>
      <c r="F49" s="402"/>
      <c r="G49" s="402"/>
    </row>
    <row r="50" spans="1:7" ht="15" customHeight="1" x14ac:dyDescent="0.25">
      <c r="A50" s="40" t="s">
        <v>247</v>
      </c>
      <c r="B50" s="61">
        <f>IF(D44&gt;0,D36/D44,0)</f>
        <v>1.0633204633204634</v>
      </c>
      <c r="C50" s="402" t="str">
        <f>IF(B50&gt;1.2,"Defense-Heavy",IF(B50&lt;0.8,"Offense-Heavy","Balanced"))</f>
        <v>Balanced</v>
      </c>
      <c r="D50" s="402"/>
      <c r="E50" s="402"/>
      <c r="F50" s="402"/>
      <c r="G50" s="402"/>
    </row>
    <row r="51" spans="1:7" ht="15" customHeight="1" x14ac:dyDescent="0.25">
      <c r="A51" s="40" t="s">
        <v>248</v>
      </c>
      <c r="B51" s="61">
        <f>D36+D44</f>
        <v>13.36</v>
      </c>
      <c r="C51" s="402" t="str">
        <f>IF(B51&gt;=14,"Dominant",IF(B51&gt;=10,"Strong",IF(B51&gt;=6,"Average","Vulnerable")))</f>
        <v>Strong</v>
      </c>
      <c r="D51" s="402"/>
      <c r="E51" s="402"/>
      <c r="F51" s="402"/>
      <c r="G51" s="402"/>
    </row>
    <row r="52" spans="1:7" ht="15" customHeight="1" x14ac:dyDescent="0.25">
      <c r="A52" s="40" t="s">
        <v>249</v>
      </c>
      <c r="B52" s="61">
        <f>ABS(D36-D44)</f>
        <v>0.41000000000000014</v>
      </c>
      <c r="C52" s="402" t="str">
        <f>IF(B52&gt;3,"Critical imbalance",IF(B52&gt;1.5,"Notable gap","Well balanced"))</f>
        <v>Well balanced</v>
      </c>
      <c r="D52" s="402"/>
      <c r="E52" s="402"/>
      <c r="F52" s="402"/>
      <c r="G52" s="402"/>
    </row>
    <row r="53" spans="1:7" ht="15" customHeight="1" x14ac:dyDescent="0.25">
      <c r="A53" s="40" t="s">
        <v>250</v>
      </c>
      <c r="B53" s="61" t="str">
        <f>IF(AND(D36&gt;=5.5,D44&gt;=5.5),"BLACK PHOENIX",IF(AND(D36&gt;=5.5,D44&lt;5.5),"INCUMBENT DEFENDER",IF(AND(D36&lt;5.5,D44&gt;=5.5),"DISRUPTIVE CHALLENGER","DOUBLE EXPOSURE")))</f>
        <v>BLACK PHOENIX</v>
      </c>
      <c r="C53" s="402" t="str">
        <f>IF(B53="BLACK PHOENIX","Optimal: high resilience + high mobility",IF(B53="INCUMBENT DEFENDER","Strong defense, weak offense",IF(B53="DISRUPTIVE CHALLENGER","Strong offense, weak defense","Vulnerable both")))</f>
        <v>Optimal: high resilience + high mobility</v>
      </c>
      <c r="D53" s="402"/>
      <c r="E53" s="402"/>
      <c r="F53" s="402"/>
      <c r="G53" s="402"/>
    </row>
  </sheetData>
  <mergeCells count="14">
    <mergeCell ref="C50:G50"/>
    <mergeCell ref="C51:G51"/>
    <mergeCell ref="C52:G52"/>
    <mergeCell ref="C53:G53"/>
    <mergeCell ref="A30:G30"/>
    <mergeCell ref="A38:G38"/>
    <mergeCell ref="A46:G46"/>
    <mergeCell ref="C48:G48"/>
    <mergeCell ref="C49:G49"/>
    <mergeCell ref="A1:G1"/>
    <mergeCell ref="A2:G2"/>
    <mergeCell ref="A4:G4"/>
    <mergeCell ref="A19:G19"/>
    <mergeCell ref="B20:G20"/>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8B57"/>
    <pageSetUpPr fitToPage="1"/>
  </sheetPr>
  <dimension ref="A1:G40"/>
  <sheetViews>
    <sheetView topLeftCell="A32" zoomScaleNormal="100" workbookViewId="0">
      <selection activeCell="C30" sqref="C30"/>
    </sheetView>
  </sheetViews>
  <sheetFormatPr defaultColWidth="8.7109375" defaultRowHeight="15" x14ac:dyDescent="0.25"/>
  <cols>
    <col min="1" max="1" width="30" customWidth="1"/>
    <col min="2" max="2" width="18" customWidth="1"/>
    <col min="3" max="6" width="14" customWidth="1"/>
    <col min="7" max="7" width="40" customWidth="1"/>
  </cols>
  <sheetData>
    <row r="1" spans="1:7" ht="17.25" customHeight="1" x14ac:dyDescent="0.25">
      <c r="A1" s="403" t="s">
        <v>251</v>
      </c>
      <c r="B1" s="403"/>
      <c r="C1" s="403"/>
      <c r="D1" s="403"/>
      <c r="E1" s="403"/>
      <c r="F1" s="403"/>
      <c r="G1" s="403"/>
    </row>
    <row r="2" spans="1:7" ht="15" customHeight="1" x14ac:dyDescent="0.25">
      <c r="A2" s="398" t="s">
        <v>252</v>
      </c>
      <c r="B2" s="398"/>
      <c r="C2" s="398"/>
      <c r="D2" s="398"/>
      <c r="E2" s="398"/>
      <c r="F2" s="398"/>
      <c r="G2" s="398"/>
    </row>
    <row r="4" spans="1:7" ht="15" customHeight="1" x14ac:dyDescent="0.25">
      <c r="A4" s="395" t="s">
        <v>253</v>
      </c>
      <c r="B4" s="395"/>
      <c r="C4" s="395"/>
      <c r="D4" s="395"/>
      <c r="E4" s="395"/>
      <c r="F4" s="395"/>
      <c r="G4" s="395"/>
    </row>
    <row r="5" spans="1:7" ht="30" customHeight="1" x14ac:dyDescent="0.25">
      <c r="A5" s="45" t="s">
        <v>254</v>
      </c>
      <c r="B5" s="45" t="s">
        <v>255</v>
      </c>
      <c r="C5" s="45" t="s">
        <v>256</v>
      </c>
      <c r="D5" s="45" t="s">
        <v>257</v>
      </c>
      <c r="E5" s="45" t="s">
        <v>258</v>
      </c>
      <c r="F5" s="45" t="s">
        <v>259</v>
      </c>
      <c r="G5" s="45" t="s">
        <v>260</v>
      </c>
    </row>
    <row r="6" spans="1:7" ht="15" customHeight="1" x14ac:dyDescent="0.25">
      <c r="A6" s="40" t="s">
        <v>261</v>
      </c>
      <c r="B6" s="43">
        <v>2001</v>
      </c>
      <c r="C6" s="43">
        <v>1</v>
      </c>
      <c r="D6" s="43">
        <v>0</v>
      </c>
      <c r="E6" s="43">
        <v>0</v>
      </c>
      <c r="F6" s="43">
        <v>1</v>
      </c>
      <c r="G6" s="44" t="s">
        <v>262</v>
      </c>
    </row>
    <row r="7" spans="1:7" ht="15" customHeight="1" x14ac:dyDescent="0.25">
      <c r="A7" s="40" t="s">
        <v>263</v>
      </c>
      <c r="B7" s="43">
        <v>2008</v>
      </c>
      <c r="C7" s="43">
        <v>1</v>
      </c>
      <c r="D7" s="43">
        <v>1</v>
      </c>
      <c r="E7" s="43">
        <v>1</v>
      </c>
      <c r="F7" s="43">
        <v>0</v>
      </c>
      <c r="G7" s="44" t="s">
        <v>264</v>
      </c>
    </row>
    <row r="8" spans="1:7" ht="15" customHeight="1" x14ac:dyDescent="0.25">
      <c r="A8" s="40" t="s">
        <v>265</v>
      </c>
      <c r="B8" s="43">
        <v>2010</v>
      </c>
      <c r="C8" s="43">
        <v>1</v>
      </c>
      <c r="D8" s="43">
        <v>1</v>
      </c>
      <c r="E8" s="43">
        <v>0</v>
      </c>
      <c r="F8" s="43">
        <v>0</v>
      </c>
      <c r="G8" s="44" t="s">
        <v>266</v>
      </c>
    </row>
    <row r="9" spans="1:7" ht="15" customHeight="1" x14ac:dyDescent="0.25">
      <c r="A9" s="40" t="s">
        <v>267</v>
      </c>
      <c r="B9" s="43">
        <v>2019</v>
      </c>
      <c r="C9" s="43">
        <v>1</v>
      </c>
      <c r="D9" s="43">
        <v>0</v>
      </c>
      <c r="E9" s="43">
        <v>0</v>
      </c>
      <c r="F9" s="43">
        <v>1</v>
      </c>
      <c r="G9" s="44" t="s">
        <v>268</v>
      </c>
    </row>
    <row r="10" spans="1:7" ht="15" customHeight="1" x14ac:dyDescent="0.25">
      <c r="A10" s="40" t="s">
        <v>269</v>
      </c>
      <c r="B10" s="43">
        <v>2020</v>
      </c>
      <c r="C10" s="43">
        <v>0</v>
      </c>
      <c r="D10" s="67">
        <f>F20</f>
        <v>7.2</v>
      </c>
      <c r="E10" s="43">
        <v>1</v>
      </c>
      <c r="F10" s="43">
        <v>1</v>
      </c>
      <c r="G10" s="44" t="s">
        <v>270</v>
      </c>
    </row>
    <row r="11" spans="1:7" ht="15" customHeight="1" x14ac:dyDescent="0.25">
      <c r="A11" s="40" t="s">
        <v>271</v>
      </c>
      <c r="B11" s="43">
        <v>2023</v>
      </c>
      <c r="C11" s="43">
        <v>1</v>
      </c>
      <c r="D11" s="67">
        <f>F21</f>
        <v>6.5</v>
      </c>
      <c r="E11" s="43">
        <v>1</v>
      </c>
      <c r="F11" s="43">
        <v>0</v>
      </c>
      <c r="G11" s="44" t="s">
        <v>272</v>
      </c>
    </row>
    <row r="12" spans="1:7" ht="15" customHeight="1" x14ac:dyDescent="0.25">
      <c r="A12" s="40" t="s">
        <v>273</v>
      </c>
      <c r="B12" s="43">
        <v>2020</v>
      </c>
      <c r="C12" s="43">
        <v>1</v>
      </c>
      <c r="D12" s="67">
        <f>F22</f>
        <v>7.8</v>
      </c>
      <c r="E12" s="43">
        <v>0</v>
      </c>
      <c r="F12" s="43">
        <v>0</v>
      </c>
      <c r="G12" s="44" t="s">
        <v>274</v>
      </c>
    </row>
    <row r="13" spans="1:7" ht="15" customHeight="1" x14ac:dyDescent="0.25">
      <c r="A13" s="40" t="s">
        <v>275</v>
      </c>
      <c r="B13" s="43">
        <v>2023</v>
      </c>
      <c r="C13" s="43">
        <v>1</v>
      </c>
      <c r="D13" s="67">
        <f>F23</f>
        <v>5.9</v>
      </c>
      <c r="E13" s="43">
        <v>1</v>
      </c>
      <c r="F13" s="43">
        <v>1</v>
      </c>
      <c r="G13" s="44" t="s">
        <v>276</v>
      </c>
    </row>
    <row r="14" spans="1:7" ht="15" customHeight="1" x14ac:dyDescent="0.25">
      <c r="A14" s="68" t="s">
        <v>277</v>
      </c>
      <c r="B14" s="43"/>
      <c r="C14" s="43">
        <f>SUM(C6:C13)</f>
        <v>7</v>
      </c>
      <c r="D14" s="43">
        <f>SUM(D6:D13)</f>
        <v>29.4</v>
      </c>
      <c r="E14" s="43">
        <f>SUM(E6:E13)</f>
        <v>4</v>
      </c>
      <c r="F14" s="43">
        <f>SUM(F6:F13)</f>
        <v>4</v>
      </c>
      <c r="G14" s="43"/>
    </row>
    <row r="15" spans="1:7" ht="15" customHeight="1" x14ac:dyDescent="0.25">
      <c r="A15" s="43" t="s">
        <v>278</v>
      </c>
      <c r="B15" s="43"/>
      <c r="C15" s="69">
        <f>C14/SUM(C14:F14)</f>
        <v>0.15765765765765766</v>
      </c>
      <c r="D15" s="69">
        <f>D14/SUM(C14:F14)</f>
        <v>0.66216216216216217</v>
      </c>
      <c r="E15" s="69">
        <f>E14/SUM(C14:F14)</f>
        <v>9.00900900900901E-2</v>
      </c>
      <c r="F15" s="69">
        <f>F14/SUM(C14:F14)</f>
        <v>9.00900900900901E-2</v>
      </c>
      <c r="G15" s="43"/>
    </row>
    <row r="16" spans="1:7" ht="15" customHeight="1" x14ac:dyDescent="0.25">
      <c r="A16" s="70" t="s">
        <v>279</v>
      </c>
      <c r="B16" s="43"/>
      <c r="C16" s="71">
        <v>0.35</v>
      </c>
      <c r="D16" s="71">
        <v>0.25</v>
      </c>
      <c r="E16" s="71">
        <v>0.2</v>
      </c>
      <c r="F16" s="71">
        <v>0.2</v>
      </c>
      <c r="G16" s="43" t="s">
        <v>280</v>
      </c>
    </row>
    <row r="18" spans="1:7" ht="15" customHeight="1" x14ac:dyDescent="0.25">
      <c r="A18" s="395" t="s">
        <v>281</v>
      </c>
      <c r="B18" s="395"/>
      <c r="C18" s="395"/>
      <c r="D18" s="395"/>
      <c r="E18" s="395"/>
      <c r="F18" s="395"/>
      <c r="G18" s="395"/>
    </row>
    <row r="19" spans="1:7" ht="30" customHeight="1" x14ac:dyDescent="0.25">
      <c r="A19" s="45" t="s">
        <v>229</v>
      </c>
      <c r="B19" s="45" t="s">
        <v>17</v>
      </c>
      <c r="C19" s="45" t="s">
        <v>282</v>
      </c>
      <c r="D19" s="45" t="s">
        <v>283</v>
      </c>
      <c r="E19" s="45" t="s">
        <v>284</v>
      </c>
      <c r="F19" s="45" t="s">
        <v>285</v>
      </c>
      <c r="G19" s="45" t="s">
        <v>286</v>
      </c>
    </row>
    <row r="20" spans="1:7" ht="15" customHeight="1" x14ac:dyDescent="0.25">
      <c r="A20" s="40" t="s">
        <v>231</v>
      </c>
      <c r="B20" s="62">
        <f>CORE!B32</f>
        <v>0.35</v>
      </c>
      <c r="C20" s="44" t="s">
        <v>287</v>
      </c>
      <c r="D20" s="44" t="s">
        <v>288</v>
      </c>
      <c r="E20" s="44" t="s">
        <v>289</v>
      </c>
      <c r="F20" s="72">
        <v>7.2</v>
      </c>
      <c r="G20" s="44" t="s">
        <v>290</v>
      </c>
    </row>
    <row r="21" spans="1:7" ht="15" customHeight="1" x14ac:dyDescent="0.25">
      <c r="A21" s="40" t="s">
        <v>232</v>
      </c>
      <c r="B21" s="62">
        <f>CORE!B33</f>
        <v>0.25</v>
      </c>
      <c r="C21" s="44" t="s">
        <v>291</v>
      </c>
      <c r="D21" s="44" t="s">
        <v>292</v>
      </c>
      <c r="E21" s="44" t="s">
        <v>293</v>
      </c>
      <c r="F21" s="72">
        <v>6.5</v>
      </c>
      <c r="G21" s="44" t="s">
        <v>294</v>
      </c>
    </row>
    <row r="22" spans="1:7" ht="21.75" customHeight="1" x14ac:dyDescent="0.25">
      <c r="A22" s="40" t="s">
        <v>233</v>
      </c>
      <c r="B22" s="62">
        <f>CORE!B34</f>
        <v>0.2</v>
      </c>
      <c r="C22" s="44" t="s">
        <v>295</v>
      </c>
      <c r="D22" s="44" t="s">
        <v>296</v>
      </c>
      <c r="E22" s="44" t="s">
        <v>297</v>
      </c>
      <c r="F22" s="72">
        <v>7.8</v>
      </c>
      <c r="G22" s="44" t="s">
        <v>298</v>
      </c>
    </row>
    <row r="23" spans="1:7" ht="15" customHeight="1" x14ac:dyDescent="0.25">
      <c r="A23" s="40" t="s">
        <v>234</v>
      </c>
      <c r="B23" s="62">
        <f>CORE!B35</f>
        <v>0.2</v>
      </c>
      <c r="C23" s="44" t="s">
        <v>299</v>
      </c>
      <c r="D23" s="44" t="s">
        <v>300</v>
      </c>
      <c r="E23" s="44" t="s">
        <v>301</v>
      </c>
      <c r="F23" s="72">
        <v>5.9</v>
      </c>
      <c r="G23" s="44" t="s">
        <v>302</v>
      </c>
    </row>
    <row r="25" spans="1:7" ht="17.25" customHeight="1" x14ac:dyDescent="0.25">
      <c r="A25" s="73" t="s">
        <v>235</v>
      </c>
      <c r="B25" s="43"/>
      <c r="C25" s="43"/>
      <c r="D25" s="43"/>
      <c r="E25" s="43"/>
      <c r="F25" s="74">
        <f>SUMPRODUCT(B20:B23,F20:F23)</f>
        <v>6.8849999999999998</v>
      </c>
      <c r="G25" s="43"/>
    </row>
    <row r="27" spans="1:7" ht="15" customHeight="1" x14ac:dyDescent="0.25">
      <c r="A27" s="395" t="s">
        <v>303</v>
      </c>
      <c r="B27" s="395"/>
      <c r="C27" s="395"/>
      <c r="D27" s="395"/>
      <c r="E27" s="395"/>
      <c r="F27" s="395"/>
      <c r="G27" s="395"/>
    </row>
    <row r="28" spans="1:7" ht="30" customHeight="1" x14ac:dyDescent="0.25">
      <c r="A28" s="45" t="s">
        <v>196</v>
      </c>
      <c r="B28" s="45" t="s">
        <v>40</v>
      </c>
      <c r="C28" s="45" t="s">
        <v>304</v>
      </c>
      <c r="D28" s="45" t="s">
        <v>41</v>
      </c>
      <c r="E28" s="45" t="s">
        <v>43</v>
      </c>
      <c r="F28" s="45"/>
      <c r="G28" s="45"/>
    </row>
    <row r="29" spans="1:7" ht="15" customHeight="1" x14ac:dyDescent="0.25">
      <c r="A29" s="40" t="s">
        <v>305</v>
      </c>
      <c r="B29" s="43" t="s">
        <v>306</v>
      </c>
      <c r="C29" s="75" t="s">
        <v>307</v>
      </c>
      <c r="D29" s="76">
        <f>F25/10</f>
        <v>0.6885</v>
      </c>
      <c r="E29" s="43" t="s">
        <v>308</v>
      </c>
      <c r="F29" s="43"/>
      <c r="G29" s="43"/>
    </row>
    <row r="30" spans="1:7" ht="21.75" customHeight="1" x14ac:dyDescent="0.25">
      <c r="A30" s="40" t="s">
        <v>309</v>
      </c>
      <c r="B30" s="43" t="s">
        <v>310</v>
      </c>
      <c r="C30" s="75" t="s">
        <v>311</v>
      </c>
      <c r="D30" s="76">
        <f>0.1+0.3*(1-D29)</f>
        <v>0.19345000000000001</v>
      </c>
      <c r="E30" s="43" t="s">
        <v>312</v>
      </c>
      <c r="F30" s="43"/>
      <c r="G30" s="43"/>
    </row>
    <row r="31" spans="1:7" ht="23.25" customHeight="1" x14ac:dyDescent="0.25">
      <c r="A31" s="40" t="s">
        <v>313</v>
      </c>
      <c r="B31" s="43" t="s">
        <v>314</v>
      </c>
      <c r="C31" s="75" t="s">
        <v>315</v>
      </c>
      <c r="D31" s="76">
        <f>F25/180</f>
        <v>3.8249999999999999E-2</v>
      </c>
      <c r="E31" s="43" t="s">
        <v>316</v>
      </c>
      <c r="F31" s="43"/>
      <c r="G31" s="43"/>
    </row>
    <row r="32" spans="1:7" ht="15" customHeight="1" x14ac:dyDescent="0.25">
      <c r="A32" s="40" t="s">
        <v>317</v>
      </c>
      <c r="B32" s="43" t="s">
        <v>318</v>
      </c>
      <c r="C32" s="75" t="s">
        <v>319</v>
      </c>
      <c r="D32" s="76">
        <f>1+(1-F25/10)</f>
        <v>1.3115000000000001</v>
      </c>
      <c r="E32" s="43" t="s">
        <v>320</v>
      </c>
      <c r="F32" s="43"/>
      <c r="G32" s="43"/>
    </row>
    <row r="35" spans="1:7" ht="15" customHeight="1" x14ac:dyDescent="0.25">
      <c r="A35" s="395" t="s">
        <v>321</v>
      </c>
      <c r="B35" s="395"/>
      <c r="C35" s="395"/>
      <c r="D35" s="395"/>
      <c r="E35" s="395"/>
      <c r="F35" s="395"/>
      <c r="G35" s="395"/>
    </row>
    <row r="36" spans="1:7" ht="30" customHeight="1" x14ac:dyDescent="0.25">
      <c r="A36" s="45" t="s">
        <v>229</v>
      </c>
      <c r="B36" s="45" t="s">
        <v>322</v>
      </c>
      <c r="C36" s="45" t="s">
        <v>323</v>
      </c>
      <c r="D36" s="45" t="s">
        <v>324</v>
      </c>
      <c r="E36" s="45" t="s">
        <v>17</v>
      </c>
      <c r="F36" s="45" t="s">
        <v>325</v>
      </c>
      <c r="G36" s="45" t="s">
        <v>326</v>
      </c>
    </row>
    <row r="37" spans="1:7" ht="15" customHeight="1" x14ac:dyDescent="0.25">
      <c r="A37" s="40" t="s">
        <v>231</v>
      </c>
      <c r="B37" s="61">
        <f>F20</f>
        <v>7.2</v>
      </c>
      <c r="C37" s="61">
        <f>F25+B20*1</f>
        <v>7.2349999999999994</v>
      </c>
      <c r="D37" s="61">
        <f>C37-F25</f>
        <v>0.34999999999999964</v>
      </c>
      <c r="E37" s="43">
        <v>0.35</v>
      </c>
      <c r="F37" s="61">
        <f>D37/E37</f>
        <v>0.999999999999999</v>
      </c>
      <c r="G37" s="43" t="str">
        <f>IF(D37&gt;0.3,"HIGH",IF(D37&gt;0.2,"MODERATE","LOW"))</f>
        <v>HIGH</v>
      </c>
    </row>
    <row r="38" spans="1:7" ht="15" customHeight="1" x14ac:dyDescent="0.25">
      <c r="A38" s="40" t="s">
        <v>232</v>
      </c>
      <c r="B38" s="61">
        <f>F21</f>
        <v>6.5</v>
      </c>
      <c r="C38" s="61">
        <f>F25+B21*1</f>
        <v>7.1349999999999998</v>
      </c>
      <c r="D38" s="61">
        <f>C38-F25</f>
        <v>0.25</v>
      </c>
      <c r="E38" s="43">
        <v>0.25</v>
      </c>
      <c r="F38" s="61">
        <f>D38/E38</f>
        <v>1</v>
      </c>
      <c r="G38" s="43" t="str">
        <f>IF(D38&gt;0.3,"HIGH",IF(D38&gt;0.2,"MODERATE","LOW"))</f>
        <v>MODERATE</v>
      </c>
    </row>
    <row r="39" spans="1:7" ht="15" customHeight="1" x14ac:dyDescent="0.25">
      <c r="A39" s="40" t="s">
        <v>233</v>
      </c>
      <c r="B39" s="61">
        <f>F22</f>
        <v>7.8</v>
      </c>
      <c r="C39" s="61">
        <f>F25+B22*1</f>
        <v>7.085</v>
      </c>
      <c r="D39" s="61">
        <f>C39-F25</f>
        <v>0.20000000000000018</v>
      </c>
      <c r="E39" s="43">
        <v>0.2</v>
      </c>
      <c r="F39" s="61">
        <f>D39/E39</f>
        <v>1.0000000000000009</v>
      </c>
      <c r="G39" s="43" t="str">
        <f>IF(D39&gt;0.3,"HIGH",IF(D39&gt;0.2,"MODERATE","LOW"))</f>
        <v>LOW</v>
      </c>
    </row>
    <row r="40" spans="1:7" ht="15" customHeight="1" x14ac:dyDescent="0.25">
      <c r="A40" s="40" t="s">
        <v>234</v>
      </c>
      <c r="B40" s="61">
        <f>F23</f>
        <v>5.9</v>
      </c>
      <c r="C40" s="61">
        <f>F25+B23*1</f>
        <v>7.085</v>
      </c>
      <c r="D40" s="61">
        <f>C40-F25</f>
        <v>0.20000000000000018</v>
      </c>
      <c r="E40" s="43">
        <v>0.2</v>
      </c>
      <c r="F40" s="61">
        <f>D40/E40</f>
        <v>1.0000000000000009</v>
      </c>
      <c r="G40" s="43" t="str">
        <f>IF(D40&gt;0.3,"HIGH",IF(D40&gt;0.2,"MODERATE","LOW"))</f>
        <v>LOW</v>
      </c>
    </row>
  </sheetData>
  <mergeCells count="6">
    <mergeCell ref="A35:G35"/>
    <mergeCell ref="A1:G1"/>
    <mergeCell ref="A2:G2"/>
    <mergeCell ref="A4:G4"/>
    <mergeCell ref="A18:G18"/>
    <mergeCell ref="A27:G27"/>
  </mergeCells>
  <dataValidations count="1">
    <dataValidation type="decimal" sqref="F20:F23" xr:uid="{00000000-0002-0000-0300-000000000000}">
      <formula1>0</formula1>
      <formula2>10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090"/>
    <pageSetUpPr fitToPage="1"/>
  </sheetPr>
  <dimension ref="A1:G39"/>
  <sheetViews>
    <sheetView topLeftCell="A7" zoomScaleNormal="100" workbookViewId="0">
      <selection activeCell="B17" sqref="B17"/>
    </sheetView>
  </sheetViews>
  <sheetFormatPr defaultColWidth="8.7109375" defaultRowHeight="15" x14ac:dyDescent="0.25"/>
  <cols>
    <col min="1" max="1" width="30" customWidth="1"/>
    <col min="2" max="2" width="18" customWidth="1"/>
    <col min="3" max="6" width="14" customWidth="1"/>
    <col min="7" max="7" width="40" customWidth="1"/>
  </cols>
  <sheetData>
    <row r="1" spans="1:7" ht="17.25" customHeight="1" x14ac:dyDescent="0.25">
      <c r="A1" s="404" t="s">
        <v>327</v>
      </c>
      <c r="B1" s="404"/>
      <c r="C1" s="404"/>
      <c r="D1" s="404"/>
      <c r="E1" s="404"/>
      <c r="F1" s="404"/>
      <c r="G1" s="404"/>
    </row>
    <row r="2" spans="1:7" ht="15" customHeight="1" x14ac:dyDescent="0.25">
      <c r="A2" s="398" t="s">
        <v>328</v>
      </c>
      <c r="B2" s="398"/>
      <c r="C2" s="398"/>
      <c r="D2" s="398"/>
      <c r="E2" s="398"/>
      <c r="F2" s="398"/>
      <c r="G2" s="398"/>
    </row>
    <row r="4" spans="1:7" ht="15" customHeight="1" x14ac:dyDescent="0.25">
      <c r="A4" s="395" t="s">
        <v>329</v>
      </c>
      <c r="B4" s="395"/>
      <c r="C4" s="395"/>
      <c r="D4" s="395"/>
      <c r="E4" s="395"/>
      <c r="F4" s="395"/>
      <c r="G4" s="395"/>
    </row>
    <row r="5" spans="1:7" ht="30" customHeight="1" x14ac:dyDescent="0.25">
      <c r="A5" s="45" t="s">
        <v>330</v>
      </c>
      <c r="B5" s="45" t="s">
        <v>255</v>
      </c>
      <c r="C5" s="45" t="s">
        <v>331</v>
      </c>
      <c r="D5" s="45" t="s">
        <v>332</v>
      </c>
      <c r="E5" s="45" t="s">
        <v>333</v>
      </c>
      <c r="F5" s="45" t="s">
        <v>334</v>
      </c>
      <c r="G5" s="45" t="s">
        <v>335</v>
      </c>
    </row>
    <row r="6" spans="1:7" ht="15" customHeight="1" x14ac:dyDescent="0.25">
      <c r="A6" s="40" t="s">
        <v>336</v>
      </c>
      <c r="B6" s="43">
        <v>2008</v>
      </c>
      <c r="C6" s="43">
        <v>1</v>
      </c>
      <c r="D6" s="43">
        <v>1</v>
      </c>
      <c r="E6" s="43">
        <v>0</v>
      </c>
      <c r="F6" s="43">
        <v>1</v>
      </c>
      <c r="G6" s="44" t="s">
        <v>337</v>
      </c>
    </row>
    <row r="7" spans="1:7" ht="15" customHeight="1" x14ac:dyDescent="0.25">
      <c r="A7" s="40" t="s">
        <v>338</v>
      </c>
      <c r="B7" s="43">
        <v>2007</v>
      </c>
      <c r="C7" s="43">
        <v>1</v>
      </c>
      <c r="D7" s="43">
        <v>1</v>
      </c>
      <c r="E7" s="43">
        <v>1</v>
      </c>
      <c r="F7" s="43">
        <v>0</v>
      </c>
      <c r="G7" s="44" t="s">
        <v>339</v>
      </c>
    </row>
    <row r="8" spans="1:7" ht="15" customHeight="1" x14ac:dyDescent="0.25">
      <c r="A8" s="40" t="s">
        <v>340</v>
      </c>
      <c r="B8" s="43">
        <v>2015</v>
      </c>
      <c r="C8" s="43">
        <v>1</v>
      </c>
      <c r="D8" s="43">
        <v>0</v>
      </c>
      <c r="E8" s="43">
        <v>1</v>
      </c>
      <c r="F8" s="43">
        <v>1</v>
      </c>
      <c r="G8" s="44" t="s">
        <v>341</v>
      </c>
    </row>
    <row r="9" spans="1:7" ht="15" customHeight="1" x14ac:dyDescent="0.25">
      <c r="A9" s="40" t="s">
        <v>342</v>
      </c>
      <c r="B9" s="43">
        <v>2020</v>
      </c>
      <c r="C9" s="43">
        <v>0</v>
      </c>
      <c r="D9" s="43">
        <v>1</v>
      </c>
      <c r="E9" s="43">
        <v>1</v>
      </c>
      <c r="F9" s="43">
        <v>1</v>
      </c>
      <c r="G9" s="44" t="s">
        <v>343</v>
      </c>
    </row>
    <row r="10" spans="1:7" ht="15" customHeight="1" x14ac:dyDescent="0.25">
      <c r="A10" s="40" t="s">
        <v>344</v>
      </c>
      <c r="B10" s="43">
        <v>2023</v>
      </c>
      <c r="C10" s="43">
        <v>1</v>
      </c>
      <c r="D10" s="67">
        <f>F17</f>
        <v>6.8</v>
      </c>
      <c r="E10" s="43">
        <v>1</v>
      </c>
      <c r="F10" s="43">
        <v>0</v>
      </c>
      <c r="G10" s="44" t="s">
        <v>345</v>
      </c>
    </row>
    <row r="11" spans="1:7" ht="15" customHeight="1" x14ac:dyDescent="0.25">
      <c r="A11" s="43" t="s">
        <v>277</v>
      </c>
      <c r="B11" s="43"/>
      <c r="C11" s="43">
        <f>SUM(C6:C10)</f>
        <v>4</v>
      </c>
      <c r="D11" s="67">
        <f>F18</f>
        <v>7.1</v>
      </c>
      <c r="E11" s="43">
        <f>SUM(E6:E10)</f>
        <v>4</v>
      </c>
      <c r="F11" s="43">
        <f>SUM(F6:F10)</f>
        <v>3</v>
      </c>
      <c r="G11" s="43"/>
    </row>
    <row r="12" spans="1:7" ht="15" customHeight="1" x14ac:dyDescent="0.25">
      <c r="A12" s="43" t="s">
        <v>278</v>
      </c>
      <c r="B12" s="43"/>
      <c r="C12" s="42">
        <f>C11/SUM(C11:F11)</f>
        <v>0.22099447513812154</v>
      </c>
      <c r="D12" s="67">
        <f>F19</f>
        <v>5.5</v>
      </c>
      <c r="E12" s="42">
        <f>E11/SUM(C11:F11)</f>
        <v>0.22099447513812154</v>
      </c>
      <c r="F12" s="42">
        <f>F11/SUM(C11:F11)</f>
        <v>0.16574585635359115</v>
      </c>
      <c r="G12" s="43"/>
    </row>
    <row r="13" spans="1:7" ht="15" customHeight="1" x14ac:dyDescent="0.25">
      <c r="A13" s="77" t="s">
        <v>279</v>
      </c>
      <c r="B13" s="43"/>
      <c r="C13" s="78">
        <v>0.3</v>
      </c>
      <c r="D13" s="79">
        <f>F20</f>
        <v>6.2</v>
      </c>
      <c r="E13" s="78">
        <v>0.25</v>
      </c>
      <c r="F13" s="78">
        <v>0.15</v>
      </c>
      <c r="G13" s="43" t="s">
        <v>346</v>
      </c>
    </row>
    <row r="15" spans="1:7" ht="15" customHeight="1" x14ac:dyDescent="0.25">
      <c r="A15" s="395" t="s">
        <v>281</v>
      </c>
      <c r="B15" s="395"/>
      <c r="C15" s="395"/>
      <c r="D15" s="395"/>
      <c r="E15" s="395"/>
      <c r="F15" s="395"/>
      <c r="G15" s="395"/>
    </row>
    <row r="16" spans="1:7" ht="30" customHeight="1" x14ac:dyDescent="0.25">
      <c r="A16" s="45" t="s">
        <v>229</v>
      </c>
      <c r="B16" s="45" t="s">
        <v>17</v>
      </c>
      <c r="C16" s="45" t="s">
        <v>282</v>
      </c>
      <c r="D16" s="45" t="s">
        <v>283</v>
      </c>
      <c r="E16" s="45" t="s">
        <v>284</v>
      </c>
      <c r="F16" s="45" t="s">
        <v>221</v>
      </c>
      <c r="G16" s="45" t="s">
        <v>286</v>
      </c>
    </row>
    <row r="17" spans="1:7" ht="21.75" customHeight="1" x14ac:dyDescent="0.25">
      <c r="A17" s="40" t="s">
        <v>238</v>
      </c>
      <c r="B17" s="62">
        <v>0.3</v>
      </c>
      <c r="C17" s="44" t="s">
        <v>347</v>
      </c>
      <c r="D17" s="44" t="s">
        <v>348</v>
      </c>
      <c r="E17" s="44" t="s">
        <v>349</v>
      </c>
      <c r="F17" s="72">
        <v>6.8</v>
      </c>
      <c r="G17" s="44" t="s">
        <v>350</v>
      </c>
    </row>
    <row r="18" spans="1:7" ht="15" customHeight="1" x14ac:dyDescent="0.25">
      <c r="A18" s="40" t="s">
        <v>239</v>
      </c>
      <c r="B18" s="62">
        <v>0.3</v>
      </c>
      <c r="C18" s="44" t="s">
        <v>351</v>
      </c>
      <c r="D18" s="44" t="s">
        <v>352</v>
      </c>
      <c r="E18" s="44" t="s">
        <v>353</v>
      </c>
      <c r="F18" s="72">
        <v>7.1</v>
      </c>
      <c r="G18" s="44" t="s">
        <v>354</v>
      </c>
    </row>
    <row r="19" spans="1:7" ht="15" customHeight="1" x14ac:dyDescent="0.25">
      <c r="A19" s="40" t="s">
        <v>240</v>
      </c>
      <c r="B19" s="62">
        <v>0.25</v>
      </c>
      <c r="C19" s="44" t="s">
        <v>355</v>
      </c>
      <c r="D19" s="44" t="s">
        <v>356</v>
      </c>
      <c r="E19" s="44" t="s">
        <v>357</v>
      </c>
      <c r="F19" s="72">
        <v>5.5</v>
      </c>
      <c r="G19" s="44" t="s">
        <v>358</v>
      </c>
    </row>
    <row r="20" spans="1:7" ht="21.75" customHeight="1" x14ac:dyDescent="0.25">
      <c r="A20" s="40" t="s">
        <v>241</v>
      </c>
      <c r="B20" s="62">
        <v>0.15</v>
      </c>
      <c r="C20" s="44" t="s">
        <v>300</v>
      </c>
      <c r="D20" s="44" t="s">
        <v>359</v>
      </c>
      <c r="E20" s="44" t="s">
        <v>360</v>
      </c>
      <c r="F20" s="72">
        <v>6.2</v>
      </c>
      <c r="G20" s="44" t="s">
        <v>361</v>
      </c>
    </row>
    <row r="22" spans="1:7" ht="26.25" customHeight="1" x14ac:dyDescent="0.25">
      <c r="A22" s="80" t="s">
        <v>242</v>
      </c>
      <c r="B22" s="43"/>
      <c r="C22" s="43"/>
      <c r="D22" s="43"/>
      <c r="E22" s="43"/>
      <c r="F22" s="81">
        <f>SUMPRODUCT(B17:B20,F17:F20)</f>
        <v>6.4749999999999996</v>
      </c>
      <c r="G22" s="43"/>
    </row>
    <row r="24" spans="1:7" ht="15" customHeight="1" x14ac:dyDescent="0.25">
      <c r="A24" s="395" t="s">
        <v>362</v>
      </c>
      <c r="B24" s="395"/>
      <c r="C24" s="395"/>
      <c r="D24" s="395"/>
      <c r="E24" s="395"/>
      <c r="F24" s="395"/>
      <c r="G24" s="395"/>
    </row>
    <row r="25" spans="1:7" ht="30" customHeight="1" x14ac:dyDescent="0.25">
      <c r="A25" s="45" t="s">
        <v>196</v>
      </c>
      <c r="B25" s="45" t="s">
        <v>40</v>
      </c>
      <c r="C25" s="45" t="s">
        <v>304</v>
      </c>
      <c r="D25" s="45" t="s">
        <v>41</v>
      </c>
      <c r="E25" s="45" t="s">
        <v>43</v>
      </c>
      <c r="F25" s="45"/>
      <c r="G25" s="45"/>
    </row>
    <row r="26" spans="1:7" ht="23.25" customHeight="1" x14ac:dyDescent="0.25">
      <c r="A26" s="40" t="s">
        <v>363</v>
      </c>
      <c r="B26" s="43" t="s">
        <v>364</v>
      </c>
      <c r="C26" s="75" t="s">
        <v>365</v>
      </c>
      <c r="D26" s="76">
        <f>1+F22*0.05</f>
        <v>1.32375</v>
      </c>
      <c r="E26" s="43" t="s">
        <v>366</v>
      </c>
      <c r="F26" s="43"/>
      <c r="G26" s="43"/>
    </row>
    <row r="27" spans="1:7" ht="21.75" customHeight="1" x14ac:dyDescent="0.25">
      <c r="A27" s="40" t="s">
        <v>367</v>
      </c>
      <c r="B27" s="43" t="s">
        <v>368</v>
      </c>
      <c r="C27" s="75" t="s">
        <v>369</v>
      </c>
      <c r="D27" s="76">
        <f>0.1+0.3*(1-F22/10)</f>
        <v>0.20575000000000002</v>
      </c>
      <c r="E27" s="43" t="s">
        <v>370</v>
      </c>
      <c r="F27" s="43"/>
      <c r="G27" s="43"/>
    </row>
    <row r="28" spans="1:7" ht="15" customHeight="1" x14ac:dyDescent="0.25">
      <c r="A28" s="40" t="s">
        <v>371</v>
      </c>
      <c r="B28" s="43" t="s">
        <v>372</v>
      </c>
      <c r="C28" s="75" t="s">
        <v>373</v>
      </c>
      <c r="D28" s="76">
        <f>F22/10</f>
        <v>0.64749999999999996</v>
      </c>
      <c r="E28" s="43" t="s">
        <v>374</v>
      </c>
      <c r="F28" s="43"/>
      <c r="G28" s="43"/>
    </row>
    <row r="29" spans="1:7" ht="15" customHeight="1" x14ac:dyDescent="0.25">
      <c r="A29" s="40" t="s">
        <v>375</v>
      </c>
      <c r="B29" s="43" t="s">
        <v>376</v>
      </c>
      <c r="C29" s="75" t="s">
        <v>377</v>
      </c>
      <c r="D29" s="76">
        <f>F22*(F22/10)</f>
        <v>4.1925624999999993</v>
      </c>
      <c r="E29" s="43" t="s">
        <v>378</v>
      </c>
      <c r="F29" s="43"/>
      <c r="G29" s="43"/>
    </row>
    <row r="32" spans="1:7" ht="15" customHeight="1" x14ac:dyDescent="0.25">
      <c r="A32" s="395" t="s">
        <v>379</v>
      </c>
      <c r="B32" s="395"/>
      <c r="C32" s="395"/>
      <c r="D32" s="395"/>
      <c r="E32" s="395"/>
      <c r="F32" s="395"/>
      <c r="G32" s="395"/>
    </row>
    <row r="33" spans="1:7" ht="15" customHeight="1" x14ac:dyDescent="0.25">
      <c r="A33" s="59" t="s">
        <v>380</v>
      </c>
      <c r="B33" s="82">
        <f>CORE!D36</f>
        <v>6.8849999999999998</v>
      </c>
      <c r="C33" s="59" t="s">
        <v>381</v>
      </c>
      <c r="D33" s="83">
        <f>F22</f>
        <v>6.4749999999999996</v>
      </c>
      <c r="E33" s="59" t="s">
        <v>382</v>
      </c>
      <c r="F33" s="84" t="str">
        <f>CORE!B53</f>
        <v>BLACK PHOENIX</v>
      </c>
    </row>
    <row r="35" spans="1:7" ht="30" customHeight="1" x14ac:dyDescent="0.25">
      <c r="A35" s="45" t="s">
        <v>383</v>
      </c>
      <c r="B35" s="45" t="s">
        <v>384</v>
      </c>
      <c r="C35" s="45" t="s">
        <v>385</v>
      </c>
      <c r="D35" s="45" t="s">
        <v>19</v>
      </c>
      <c r="E35" s="45" t="s">
        <v>386</v>
      </c>
      <c r="F35" s="45" t="s">
        <v>387</v>
      </c>
      <c r="G35" s="45"/>
    </row>
    <row r="36" spans="1:7" ht="21.75" customHeight="1" x14ac:dyDescent="0.25">
      <c r="A36" s="40" t="s">
        <v>388</v>
      </c>
      <c r="B36" s="43" t="s">
        <v>389</v>
      </c>
      <c r="C36" s="43" t="s">
        <v>389</v>
      </c>
      <c r="D36" s="44" t="s">
        <v>390</v>
      </c>
      <c r="E36" s="44" t="s">
        <v>391</v>
      </c>
      <c r="F36" s="44" t="s">
        <v>392</v>
      </c>
      <c r="G36" s="43"/>
    </row>
    <row r="37" spans="1:7" ht="21.75" customHeight="1" x14ac:dyDescent="0.25">
      <c r="A37" s="40" t="s">
        <v>393</v>
      </c>
      <c r="B37" s="43" t="s">
        <v>389</v>
      </c>
      <c r="C37" s="43" t="s">
        <v>394</v>
      </c>
      <c r="D37" s="44" t="s">
        <v>395</v>
      </c>
      <c r="E37" s="44" t="s">
        <v>396</v>
      </c>
      <c r="F37" s="44" t="s">
        <v>397</v>
      </c>
      <c r="G37" s="43"/>
    </row>
    <row r="38" spans="1:7" ht="21.75" customHeight="1" x14ac:dyDescent="0.25">
      <c r="A38" s="40" t="s">
        <v>398</v>
      </c>
      <c r="B38" s="43" t="s">
        <v>394</v>
      </c>
      <c r="C38" s="43" t="s">
        <v>389</v>
      </c>
      <c r="D38" s="44" t="s">
        <v>399</v>
      </c>
      <c r="E38" s="44" t="s">
        <v>400</v>
      </c>
      <c r="F38" s="44" t="s">
        <v>401</v>
      </c>
      <c r="G38" s="43"/>
    </row>
    <row r="39" spans="1:7" ht="21.75" customHeight="1" x14ac:dyDescent="0.25">
      <c r="A39" s="40" t="s">
        <v>402</v>
      </c>
      <c r="B39" s="43" t="s">
        <v>394</v>
      </c>
      <c r="C39" s="43" t="s">
        <v>394</v>
      </c>
      <c r="D39" s="44" t="s">
        <v>403</v>
      </c>
      <c r="E39" s="44" t="s">
        <v>404</v>
      </c>
      <c r="F39" s="44" t="s">
        <v>405</v>
      </c>
      <c r="G39" s="43"/>
    </row>
  </sheetData>
  <mergeCells count="6">
    <mergeCell ref="A32:G32"/>
    <mergeCell ref="A1:G1"/>
    <mergeCell ref="A2:G2"/>
    <mergeCell ref="A4:G4"/>
    <mergeCell ref="A15:G15"/>
    <mergeCell ref="A24:G24"/>
  </mergeCells>
  <dataValidations count="1">
    <dataValidation type="decimal" sqref="F17:F20" xr:uid="{00000000-0002-0000-0400-000000000000}">
      <formula1>0</formula1>
      <formula2>10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N45"/>
  <sheetViews>
    <sheetView zoomScaleNormal="100" workbookViewId="0"/>
  </sheetViews>
  <sheetFormatPr defaultColWidth="8.7109375" defaultRowHeight="15" x14ac:dyDescent="0.25"/>
  <cols>
    <col min="1" max="1" width="1.5703125" customWidth="1"/>
    <col min="3" max="3" width="86.85546875" customWidth="1"/>
    <col min="4" max="4" width="3.85546875" customWidth="1"/>
    <col min="7" max="7" width="52.42578125" customWidth="1"/>
    <col min="8" max="8" width="1.5703125" customWidth="1"/>
    <col min="10" max="10" width="8" customWidth="1"/>
  </cols>
  <sheetData>
    <row r="1" spans="1:92" ht="9" customHeight="1" x14ac:dyDescent="0.25">
      <c r="A1" s="85" t="b">
        <f>FALSE()</f>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CI1" s="85"/>
      <c r="CJ1" s="85"/>
      <c r="CK1" s="85"/>
      <c r="CL1" s="85"/>
      <c r="CM1" s="85"/>
      <c r="CN1" s="85"/>
    </row>
    <row r="2" spans="1:92" ht="12.75" customHeight="1" x14ac:dyDescent="0.25">
      <c r="A2" s="85"/>
      <c r="B2" s="7"/>
      <c r="C2" s="8"/>
      <c r="D2" s="8"/>
      <c r="E2" s="8"/>
      <c r="F2" s="8"/>
      <c r="G2" s="8"/>
      <c r="H2" s="9"/>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row>
    <row r="3" spans="1:92" ht="24" customHeight="1" x14ac:dyDescent="0.25">
      <c r="A3" s="85"/>
      <c r="B3" s="10"/>
      <c r="C3" s="86" t="str">
        <f>IF(SelectedBU="","",INDEX(ReportingUnits,SelectedBU,1))</f>
        <v>Company 3</v>
      </c>
      <c r="D3" s="86"/>
      <c r="E3" s="86"/>
      <c r="F3" s="86"/>
      <c r="G3" s="87" t="s">
        <v>406</v>
      </c>
      <c r="H3" s="13"/>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row>
    <row r="4" spans="1:92" ht="4.5" customHeight="1" x14ac:dyDescent="0.25">
      <c r="A4" s="85"/>
      <c r="B4" s="10"/>
      <c r="C4" s="14"/>
      <c r="D4" s="14"/>
      <c r="E4" s="14"/>
      <c r="F4" s="14"/>
      <c r="G4" s="15"/>
      <c r="H4" s="13"/>
      <c r="I4" s="88"/>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row>
    <row r="5" spans="1:92" ht="4.5" customHeight="1" x14ac:dyDescent="0.25">
      <c r="A5" s="85"/>
      <c r="B5" s="10"/>
      <c r="C5" s="11"/>
      <c r="D5" s="11"/>
      <c r="E5" s="11"/>
      <c r="F5" s="11"/>
      <c r="G5" s="11"/>
      <c r="H5" s="13"/>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row>
    <row r="6" spans="1:92" ht="15" customHeight="1" x14ac:dyDescent="0.25">
      <c r="A6" s="85"/>
      <c r="B6" s="10"/>
      <c r="C6" s="11"/>
      <c r="D6" s="11"/>
      <c r="E6" s="11"/>
      <c r="F6" s="11"/>
      <c r="G6" s="11"/>
      <c r="H6" s="13"/>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row>
    <row r="7" spans="1:92" ht="15" customHeight="1" x14ac:dyDescent="0.25">
      <c r="A7" s="85"/>
      <c r="B7" s="10"/>
      <c r="C7" s="89" t="s">
        <v>407</v>
      </c>
      <c r="D7" s="89"/>
      <c r="E7" s="89"/>
      <c r="F7" s="89"/>
      <c r="G7" s="11"/>
      <c r="H7" s="13"/>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row>
    <row r="8" spans="1:92" ht="25.5" customHeight="1" x14ac:dyDescent="0.25">
      <c r="A8" s="85"/>
      <c r="B8" s="10"/>
      <c r="C8" s="90" t="s">
        <v>408</v>
      </c>
      <c r="D8" s="90"/>
      <c r="E8" s="90"/>
      <c r="F8" s="90"/>
      <c r="G8" s="11">
        <v>3</v>
      </c>
      <c r="H8" s="13"/>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row>
    <row r="9" spans="1:92" ht="15" customHeight="1" x14ac:dyDescent="0.25">
      <c r="A9" s="85"/>
      <c r="B9" s="10"/>
      <c r="C9" s="90"/>
      <c r="D9" s="90"/>
      <c r="E9" s="90"/>
      <c r="F9" s="90"/>
      <c r="G9" s="11"/>
      <c r="H9" s="13"/>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row>
    <row r="10" spans="1:92" ht="15" customHeight="1" x14ac:dyDescent="0.25">
      <c r="A10" s="85"/>
      <c r="B10" s="10"/>
      <c r="C10" s="11"/>
      <c r="D10" s="11"/>
      <c r="E10" s="11"/>
      <c r="F10" s="11"/>
      <c r="G10" s="11"/>
      <c r="H10" s="13"/>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row>
    <row r="11" spans="1:92" ht="15" customHeight="1" x14ac:dyDescent="0.25">
      <c r="A11" s="85"/>
      <c r="B11" s="10"/>
      <c r="C11" s="89" t="s">
        <v>409</v>
      </c>
      <c r="D11" s="89"/>
      <c r="E11" s="89"/>
      <c r="F11" s="89"/>
      <c r="G11" s="11"/>
      <c r="H11" s="13"/>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row>
    <row r="12" spans="1:92" ht="15" customHeight="1" x14ac:dyDescent="0.25">
      <c r="A12" s="85"/>
      <c r="B12" s="10"/>
      <c r="C12" s="11"/>
      <c r="D12" s="11"/>
      <c r="E12" s="11"/>
      <c r="F12" s="11"/>
      <c r="G12" s="11"/>
      <c r="H12" s="13"/>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row>
    <row r="13" spans="1:92" ht="115.5" customHeight="1" x14ac:dyDescent="0.25">
      <c r="A13" s="85"/>
      <c r="B13" s="10"/>
      <c r="C13" s="91" t="s">
        <v>410</v>
      </c>
      <c r="D13" s="92" t="s">
        <v>411</v>
      </c>
      <c r="E13" s="93" t="s">
        <v>412</v>
      </c>
      <c r="F13" s="93" t="s">
        <v>413</v>
      </c>
      <c r="G13" s="94" t="s">
        <v>414</v>
      </c>
      <c r="H13" s="13"/>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row>
    <row r="14" spans="1:92" ht="36" customHeight="1" x14ac:dyDescent="0.25">
      <c r="A14" s="85"/>
      <c r="B14" s="10"/>
      <c r="C14" s="95"/>
      <c r="D14" s="96"/>
      <c r="E14" s="96"/>
      <c r="F14" s="96"/>
      <c r="G14" s="97"/>
      <c r="H14" s="13"/>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row>
    <row r="15" spans="1:92" ht="36" customHeight="1" x14ac:dyDescent="0.25">
      <c r="A15" s="85"/>
      <c r="B15" s="10"/>
      <c r="C15" s="98"/>
      <c r="D15" s="96"/>
      <c r="E15" s="96"/>
      <c r="F15" s="96"/>
      <c r="G15" s="99"/>
      <c r="H15" s="13"/>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row>
    <row r="16" spans="1:92" ht="36" customHeight="1" x14ac:dyDescent="0.25">
      <c r="A16" s="85"/>
      <c r="B16" s="10"/>
      <c r="C16" s="98"/>
      <c r="D16" s="96"/>
      <c r="E16" s="96"/>
      <c r="F16" s="96"/>
      <c r="G16" s="99"/>
      <c r="H16" s="13"/>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row>
    <row r="17" spans="2:8" ht="36" customHeight="1" x14ac:dyDescent="0.25">
      <c r="B17" s="10"/>
      <c r="C17" s="98"/>
      <c r="D17" s="96"/>
      <c r="E17" s="96"/>
      <c r="F17" s="96"/>
      <c r="G17" s="99"/>
      <c r="H17" s="13"/>
    </row>
    <row r="18" spans="2:8" ht="36" customHeight="1" x14ac:dyDescent="0.25">
      <c r="B18" s="10"/>
      <c r="C18" s="98"/>
      <c r="D18" s="96"/>
      <c r="E18" s="96"/>
      <c r="F18" s="96"/>
      <c r="G18" s="99"/>
      <c r="H18" s="13"/>
    </row>
    <row r="19" spans="2:8" ht="36" customHeight="1" x14ac:dyDescent="0.25">
      <c r="B19" s="10"/>
      <c r="C19" s="98"/>
      <c r="D19" s="96"/>
      <c r="E19" s="96"/>
      <c r="F19" s="96"/>
      <c r="G19" s="99"/>
      <c r="H19" s="13"/>
    </row>
    <row r="20" spans="2:8" ht="36" customHeight="1" x14ac:dyDescent="0.25">
      <c r="B20" s="10"/>
      <c r="C20" s="98"/>
      <c r="D20" s="96"/>
      <c r="E20" s="96"/>
      <c r="F20" s="96"/>
      <c r="G20" s="99"/>
      <c r="H20" s="13"/>
    </row>
    <row r="21" spans="2:8" ht="36" customHeight="1" x14ac:dyDescent="0.25">
      <c r="B21" s="10"/>
      <c r="C21" s="98"/>
      <c r="D21" s="96"/>
      <c r="E21" s="96"/>
      <c r="F21" s="96"/>
      <c r="G21" s="99"/>
      <c r="H21" s="13"/>
    </row>
    <row r="22" spans="2:8" ht="36" customHeight="1" x14ac:dyDescent="0.25">
      <c r="B22" s="10"/>
      <c r="C22" s="98"/>
      <c r="D22" s="96"/>
      <c r="E22" s="96"/>
      <c r="F22" s="96"/>
      <c r="G22" s="99"/>
      <c r="H22" s="13"/>
    </row>
    <row r="23" spans="2:8" ht="36" customHeight="1" x14ac:dyDescent="0.25">
      <c r="B23" s="10"/>
      <c r="C23" s="98"/>
      <c r="D23" s="96"/>
      <c r="E23" s="96"/>
      <c r="F23" s="96"/>
      <c r="G23" s="99"/>
      <c r="H23" s="13"/>
    </row>
    <row r="24" spans="2:8" ht="36" customHeight="1" x14ac:dyDescent="0.25">
      <c r="B24" s="10"/>
      <c r="C24" s="98"/>
      <c r="D24" s="96"/>
      <c r="E24" s="96"/>
      <c r="F24" s="96"/>
      <c r="G24" s="99"/>
      <c r="H24" s="13"/>
    </row>
    <row r="25" spans="2:8" ht="36" customHeight="1" x14ac:dyDescent="0.25">
      <c r="B25" s="10"/>
      <c r="C25" s="98"/>
      <c r="D25" s="96"/>
      <c r="E25" s="96"/>
      <c r="F25" s="96"/>
      <c r="G25" s="99"/>
      <c r="H25" s="13"/>
    </row>
    <row r="26" spans="2:8" ht="36" customHeight="1" x14ac:dyDescent="0.25">
      <c r="B26" s="10"/>
      <c r="C26" s="98"/>
      <c r="D26" s="96"/>
      <c r="E26" s="96"/>
      <c r="F26" s="96"/>
      <c r="G26" s="99"/>
      <c r="H26" s="13"/>
    </row>
    <row r="27" spans="2:8" ht="36" customHeight="1" x14ac:dyDescent="0.25">
      <c r="B27" s="10"/>
      <c r="C27" s="98"/>
      <c r="D27" s="96"/>
      <c r="E27" s="96"/>
      <c r="F27" s="96"/>
      <c r="G27" s="99"/>
      <c r="H27" s="13"/>
    </row>
    <row r="28" spans="2:8" ht="36" customHeight="1" x14ac:dyDescent="0.25">
      <c r="B28" s="10"/>
      <c r="C28" s="98"/>
      <c r="D28" s="96"/>
      <c r="E28" s="96"/>
      <c r="F28" s="96"/>
      <c r="G28" s="99"/>
      <c r="H28" s="13"/>
    </row>
    <row r="29" spans="2:8" ht="36" customHeight="1" x14ac:dyDescent="0.25">
      <c r="B29" s="10"/>
      <c r="C29" s="98"/>
      <c r="D29" s="96"/>
      <c r="E29" s="96"/>
      <c r="F29" s="96"/>
      <c r="G29" s="99"/>
      <c r="H29" s="13"/>
    </row>
    <row r="30" spans="2:8" ht="36" customHeight="1" x14ac:dyDescent="0.25">
      <c r="B30" s="10"/>
      <c r="C30" s="98"/>
      <c r="D30" s="96"/>
      <c r="E30" s="96"/>
      <c r="F30" s="96"/>
      <c r="G30" s="99"/>
      <c r="H30" s="13"/>
    </row>
    <row r="31" spans="2:8" ht="36" customHeight="1" x14ac:dyDescent="0.25">
      <c r="B31" s="10"/>
      <c r="C31" s="98"/>
      <c r="D31" s="96"/>
      <c r="E31" s="96"/>
      <c r="F31" s="96"/>
      <c r="G31" s="99"/>
      <c r="H31" s="13"/>
    </row>
    <row r="32" spans="2:8" ht="36" customHeight="1" x14ac:dyDescent="0.25">
      <c r="B32" s="10"/>
      <c r="C32" s="98"/>
      <c r="D32" s="96"/>
      <c r="E32" s="96"/>
      <c r="F32" s="96"/>
      <c r="G32" s="99"/>
      <c r="H32" s="13"/>
    </row>
    <row r="33" spans="2:8" ht="36" customHeight="1" x14ac:dyDescent="0.25">
      <c r="B33" s="10"/>
      <c r="C33" s="98"/>
      <c r="D33" s="96"/>
      <c r="E33" s="96"/>
      <c r="F33" s="96"/>
      <c r="G33" s="99"/>
      <c r="H33" s="13"/>
    </row>
    <row r="34" spans="2:8" ht="36" customHeight="1" x14ac:dyDescent="0.25">
      <c r="B34" s="10"/>
      <c r="C34" s="98"/>
      <c r="D34" s="96"/>
      <c r="E34" s="96"/>
      <c r="F34" s="96"/>
      <c r="G34" s="99"/>
      <c r="H34" s="13"/>
    </row>
    <row r="35" spans="2:8" ht="36" customHeight="1" x14ac:dyDescent="0.25">
      <c r="B35" s="10"/>
      <c r="C35" s="98"/>
      <c r="D35" s="96"/>
      <c r="E35" s="96"/>
      <c r="F35" s="96"/>
      <c r="G35" s="99"/>
      <c r="H35" s="13"/>
    </row>
    <row r="36" spans="2:8" ht="36" customHeight="1" x14ac:dyDescent="0.25">
      <c r="B36" s="10"/>
      <c r="C36" s="98"/>
      <c r="D36" s="96"/>
      <c r="E36" s="96"/>
      <c r="F36" s="96"/>
      <c r="G36" s="99"/>
      <c r="H36" s="13"/>
    </row>
    <row r="37" spans="2:8" ht="36" customHeight="1" x14ac:dyDescent="0.25">
      <c r="B37" s="10"/>
      <c r="C37" s="98"/>
      <c r="D37" s="96"/>
      <c r="E37" s="96"/>
      <c r="F37" s="96"/>
      <c r="G37" s="99"/>
      <c r="H37" s="13"/>
    </row>
    <row r="38" spans="2:8" ht="36" customHeight="1" x14ac:dyDescent="0.25">
      <c r="B38" s="10"/>
      <c r="C38" s="98"/>
      <c r="D38" s="96"/>
      <c r="E38" s="96"/>
      <c r="F38" s="96"/>
      <c r="G38" s="99"/>
      <c r="H38" s="13"/>
    </row>
    <row r="39" spans="2:8" ht="36" customHeight="1" x14ac:dyDescent="0.25">
      <c r="B39" s="10"/>
      <c r="C39" s="98"/>
      <c r="D39" s="96"/>
      <c r="E39" s="96"/>
      <c r="F39" s="96"/>
      <c r="G39" s="99"/>
      <c r="H39" s="13"/>
    </row>
    <row r="40" spans="2:8" ht="36" customHeight="1" x14ac:dyDescent="0.25">
      <c r="B40" s="10"/>
      <c r="C40" s="98"/>
      <c r="D40" s="96"/>
      <c r="E40" s="96"/>
      <c r="F40" s="96"/>
      <c r="G40" s="99"/>
      <c r="H40" s="13"/>
    </row>
    <row r="41" spans="2:8" ht="36" customHeight="1" x14ac:dyDescent="0.25">
      <c r="B41" s="10"/>
      <c r="C41" s="98"/>
      <c r="D41" s="96"/>
      <c r="E41" s="96"/>
      <c r="F41" s="96"/>
      <c r="G41" s="99"/>
      <c r="H41" s="13"/>
    </row>
    <row r="42" spans="2:8" ht="36" customHeight="1" x14ac:dyDescent="0.25">
      <c r="B42" s="10"/>
      <c r="C42" s="98"/>
      <c r="D42" s="96"/>
      <c r="E42" s="96"/>
      <c r="F42" s="96"/>
      <c r="G42" s="99"/>
      <c r="H42" s="13"/>
    </row>
    <row r="43" spans="2:8" ht="15" customHeight="1" x14ac:dyDescent="0.25">
      <c r="B43" s="10"/>
      <c r="C43" s="100">
        <f>COUNTA(C$14:C42)</f>
        <v>0</v>
      </c>
      <c r="D43" s="101"/>
      <c r="E43" s="101"/>
      <c r="F43" s="101"/>
      <c r="G43" s="102"/>
      <c r="H43" s="13"/>
    </row>
    <row r="44" spans="2:8" ht="15" customHeight="1" x14ac:dyDescent="0.25">
      <c r="B44" s="10"/>
      <c r="C44" s="19" t="s">
        <v>415</v>
      </c>
      <c r="D44" s="19"/>
      <c r="E44" s="19"/>
      <c r="F44" s="19"/>
      <c r="G44" s="11"/>
      <c r="H44" s="13"/>
    </row>
    <row r="45" spans="2:8" ht="15" customHeight="1" x14ac:dyDescent="0.25">
      <c r="B45" s="35"/>
      <c r="C45" s="103"/>
      <c r="D45" s="103"/>
      <c r="E45" s="103"/>
      <c r="F45" s="103"/>
      <c r="G45" s="103"/>
      <c r="H45" s="38"/>
    </row>
  </sheetData>
  <dataValidations count="1">
    <dataValidation type="list" allowBlank="1" prompt="Double click on the cell to tick the type of objectives (only availablewhen macros are activated) otherwise choose from the list" sqref="D14:F42" xr:uid="{00000000-0002-0000-0500-000000000000}">
      <formula1>"0,1"</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B30"/>
  <sheetViews>
    <sheetView zoomScaleNormal="100" workbookViewId="0">
      <selection activeCell="C9" sqref="C9"/>
    </sheetView>
  </sheetViews>
  <sheetFormatPr defaultColWidth="8.7109375" defaultRowHeight="15" x14ac:dyDescent="0.25"/>
  <cols>
    <col min="1" max="1" width="1.5703125" customWidth="1"/>
    <col min="3" max="3" width="25.7109375" customWidth="1"/>
    <col min="4" max="4" width="12.7109375" customWidth="1"/>
    <col min="13" max="13" width="6.5703125" customWidth="1"/>
    <col min="14" max="14" width="4.7109375" customWidth="1"/>
    <col min="15" max="15" width="5.7109375" customWidth="1"/>
    <col min="16" max="16" width="3.7109375" customWidth="1"/>
    <col min="17" max="17" width="1.5703125" customWidth="1"/>
    <col min="19" max="19" width="8" customWidth="1"/>
  </cols>
  <sheetData>
    <row r="2" spans="1:80" ht="12.75" customHeight="1" x14ac:dyDescent="0.25">
      <c r="A2" s="104"/>
      <c r="B2" s="7"/>
      <c r="C2" s="8"/>
      <c r="D2" s="8"/>
      <c r="E2" s="8"/>
      <c r="F2" s="8"/>
      <c r="G2" s="8"/>
      <c r="H2" s="8"/>
      <c r="I2" s="8"/>
      <c r="J2" s="8"/>
      <c r="K2" s="8"/>
      <c r="L2" s="8"/>
      <c r="M2" s="8"/>
      <c r="N2" s="8"/>
      <c r="O2" s="8"/>
      <c r="P2" s="8"/>
      <c r="Q2" s="9"/>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row>
    <row r="3" spans="1:80" ht="24.75" customHeight="1" x14ac:dyDescent="0.25">
      <c r="A3" s="104"/>
      <c r="B3" s="10"/>
      <c r="C3" s="86" t="str">
        <f>IF(SelectedBU="","",INDEX(ReportingUnits,SelectedBU,1))</f>
        <v>Company 3</v>
      </c>
      <c r="D3" s="11"/>
      <c r="E3" s="11"/>
      <c r="F3" s="11"/>
      <c r="G3" s="11"/>
      <c r="H3" s="11"/>
      <c r="I3" s="11"/>
      <c r="J3" s="391" t="s">
        <v>416</v>
      </c>
      <c r="K3" s="391"/>
      <c r="L3" s="391"/>
      <c r="M3" s="391"/>
      <c r="N3" s="391"/>
      <c r="O3" s="391"/>
      <c r="P3" s="391"/>
      <c r="Q3" s="105"/>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row>
    <row r="4" spans="1:80" ht="4.5" customHeight="1" x14ac:dyDescent="0.25">
      <c r="A4" s="104"/>
      <c r="B4" s="10"/>
      <c r="C4" s="14"/>
      <c r="D4" s="14"/>
      <c r="E4" s="14"/>
      <c r="F4" s="14"/>
      <c r="G4" s="14"/>
      <c r="H4" s="14"/>
      <c r="I4" s="14"/>
      <c r="J4" s="15"/>
      <c r="K4" s="15"/>
      <c r="L4" s="15"/>
      <c r="M4" s="15"/>
      <c r="N4" s="15"/>
      <c r="O4" s="15"/>
      <c r="P4" s="15"/>
      <c r="Q4" s="13"/>
      <c r="R4" s="106"/>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row>
    <row r="5" spans="1:80" ht="4.5" customHeight="1" x14ac:dyDescent="0.25">
      <c r="A5" s="104"/>
      <c r="B5" s="10"/>
      <c r="C5" s="11"/>
      <c r="D5" s="11"/>
      <c r="E5" s="11"/>
      <c r="F5" s="11"/>
      <c r="G5" s="11"/>
      <c r="H5" s="11"/>
      <c r="I5" s="11"/>
      <c r="J5" s="11"/>
      <c r="K5" s="11"/>
      <c r="L5" s="11"/>
      <c r="M5" s="11"/>
      <c r="N5" s="11"/>
      <c r="O5" s="11"/>
      <c r="P5" s="11"/>
      <c r="Q5" s="13"/>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row>
    <row r="6" spans="1:80" ht="15" customHeight="1" x14ac:dyDescent="0.25">
      <c r="A6" s="104"/>
      <c r="B6" s="10"/>
      <c r="C6" s="89" t="s">
        <v>417</v>
      </c>
      <c r="D6" s="21"/>
      <c r="E6" s="21"/>
      <c r="F6" s="21"/>
      <c r="G6" s="21"/>
      <c r="H6" s="21"/>
      <c r="I6" s="21"/>
      <c r="J6" s="21"/>
      <c r="K6" s="21"/>
      <c r="L6" s="21"/>
      <c r="M6" s="21"/>
      <c r="N6" s="21"/>
      <c r="O6" s="21"/>
      <c r="P6" s="21"/>
      <c r="Q6" s="13"/>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row>
    <row r="7" spans="1:80" ht="15" customHeight="1" x14ac:dyDescent="0.25">
      <c r="A7" s="104"/>
      <c r="B7" s="10"/>
      <c r="C7" s="11"/>
      <c r="D7" s="11"/>
      <c r="E7" s="11"/>
      <c r="F7" s="405" t="s">
        <v>418</v>
      </c>
      <c r="G7" s="405"/>
      <c r="H7" s="405"/>
      <c r="I7" s="405"/>
      <c r="J7" s="108"/>
      <c r="K7" s="406" t="s">
        <v>419</v>
      </c>
      <c r="L7" s="406"/>
      <c r="M7" s="109" t="s">
        <v>420</v>
      </c>
      <c r="N7" s="109" t="s">
        <v>421</v>
      </c>
      <c r="O7" s="109" t="s">
        <v>422</v>
      </c>
      <c r="P7" s="107"/>
      <c r="Q7" s="13"/>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row>
    <row r="8" spans="1:80" ht="30" customHeight="1" x14ac:dyDescent="0.25">
      <c r="A8" s="104"/>
      <c r="B8" s="10"/>
      <c r="C8" s="110" t="s">
        <v>423</v>
      </c>
      <c r="D8" s="111"/>
      <c r="E8" s="109" t="s">
        <v>424</v>
      </c>
      <c r="F8" s="109" t="s">
        <v>425</v>
      </c>
      <c r="G8" s="109" t="s">
        <v>27</v>
      </c>
      <c r="H8" s="109" t="s">
        <v>224</v>
      </c>
      <c r="I8" s="109" t="s">
        <v>225</v>
      </c>
      <c r="J8" s="21"/>
      <c r="K8" s="21"/>
      <c r="L8" s="21"/>
      <c r="M8" s="112">
        <v>1</v>
      </c>
      <c r="N8" s="113">
        <v>0</v>
      </c>
      <c r="O8" s="114">
        <v>0.1</v>
      </c>
      <c r="P8" s="21"/>
      <c r="Q8" s="13"/>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row>
    <row r="9" spans="1:80" ht="30" customHeight="1" x14ac:dyDescent="0.25">
      <c r="A9" s="104"/>
      <c r="B9" s="10"/>
      <c r="C9" s="115"/>
      <c r="D9" s="111"/>
      <c r="E9" s="116" t="str">
        <f>"up to
"&amp;FIXED(E10,0,FALSE())&amp;" mio USD"</f>
        <v>up to
2 mio USD</v>
      </c>
      <c r="F9" s="117" t="str">
        <f>"from "&amp;FIXED(E10,0,FALSE())&amp;" to
"&amp;FIXED(F10,0,FALSE())&amp;" mio USD"</f>
        <v>from 2 to
5 mio USD</v>
      </c>
      <c r="G9" s="117" t="str">
        <f>"from "&amp;FIXED(F10,0,FALSE())&amp;" to
"&amp;FIXED(G10,0,FALSE())&amp;" mio USD"</f>
        <v>from 5 to
10 mio USD</v>
      </c>
      <c r="H9" s="117" t="str">
        <f>"from "&amp;FIXED(G10,0,FALSE())&amp;" to
"&amp;FIXED(H10,0,FALSE())&amp;" mio USD"</f>
        <v>from 10 to
30 mio USD</v>
      </c>
      <c r="I9" s="118" t="str">
        <f>"above
"&amp;FIXED(MatrixImpact!I13,0,FALSE())&amp;" mio USD"</f>
        <v>above
30 mio USD</v>
      </c>
      <c r="J9" s="21"/>
      <c r="K9" s="21"/>
      <c r="L9" s="21"/>
      <c r="M9" s="119">
        <v>2</v>
      </c>
      <c r="N9" s="120">
        <f>O8</f>
        <v>0.1</v>
      </c>
      <c r="O9" s="121">
        <v>0.3</v>
      </c>
      <c r="P9" s="21"/>
      <c r="Q9" s="13"/>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row>
    <row r="10" spans="1:80" ht="15" customHeight="1" x14ac:dyDescent="0.25">
      <c r="A10" s="104"/>
      <c r="B10" s="10"/>
      <c r="C10" s="11"/>
      <c r="D10" s="111"/>
      <c r="E10" s="122">
        <f>MatrixImpact!I10</f>
        <v>2</v>
      </c>
      <c r="F10" s="122">
        <f>MatrixImpact!I11</f>
        <v>5</v>
      </c>
      <c r="G10" s="122">
        <f>MatrixImpact!I12</f>
        <v>10</v>
      </c>
      <c r="H10" s="122">
        <f>MatrixImpact!I13</f>
        <v>30</v>
      </c>
      <c r="I10" s="123">
        <v>30</v>
      </c>
      <c r="J10" s="21" t="str">
        <f>IFERROR("= "&amp;TEXT(I10/C9,"0.0%")&amp;" base case","")</f>
        <v/>
      </c>
      <c r="K10" s="21"/>
      <c r="L10" s="21"/>
      <c r="M10" s="119">
        <v>3</v>
      </c>
      <c r="N10" s="120">
        <f>O9</f>
        <v>0.3</v>
      </c>
      <c r="O10" s="121">
        <v>0.5</v>
      </c>
      <c r="P10" s="21"/>
      <c r="Q10" s="13"/>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row>
    <row r="11" spans="1:80" ht="15" customHeight="1" x14ac:dyDescent="0.25">
      <c r="A11" s="104"/>
      <c r="B11" s="10"/>
      <c r="C11" s="11"/>
      <c r="D11" s="111"/>
      <c r="E11" s="21"/>
      <c r="F11" s="21"/>
      <c r="G11" s="21"/>
      <c r="H11" s="21"/>
      <c r="I11" s="21"/>
      <c r="J11" s="21"/>
      <c r="K11" s="21"/>
      <c r="L11" s="21"/>
      <c r="M11" s="119">
        <v>4</v>
      </c>
      <c r="N11" s="120">
        <f>O10</f>
        <v>0.5</v>
      </c>
      <c r="O11" s="121">
        <v>0.9</v>
      </c>
      <c r="P11" s="21"/>
      <c r="Q11" s="13"/>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row>
    <row r="12" spans="1:80" ht="12" customHeight="1" x14ac:dyDescent="0.25">
      <c r="A12" s="104"/>
      <c r="B12" s="10"/>
      <c r="C12" s="124"/>
      <c r="D12" s="111"/>
      <c r="E12" s="21"/>
      <c r="F12" s="21"/>
      <c r="G12" s="21"/>
      <c r="H12" s="21"/>
      <c r="I12" s="21"/>
      <c r="J12" s="21"/>
      <c r="K12" s="21"/>
      <c r="L12" s="21"/>
      <c r="M12" s="125">
        <v>5</v>
      </c>
      <c r="N12" s="126">
        <f>O11</f>
        <v>0.9</v>
      </c>
      <c r="O12" s="127">
        <v>1</v>
      </c>
      <c r="P12" s="21"/>
      <c r="Q12" s="13"/>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row>
    <row r="13" spans="1:80" ht="12" customHeight="1" x14ac:dyDescent="0.25">
      <c r="A13" s="104"/>
      <c r="B13" s="10"/>
      <c r="C13" s="124"/>
      <c r="D13" s="111"/>
      <c r="E13" s="111" t="s">
        <v>112</v>
      </c>
      <c r="F13" s="21"/>
      <c r="G13" s="21"/>
      <c r="H13" s="21"/>
      <c r="I13" s="21"/>
      <c r="J13" s="21"/>
      <c r="K13" s="21"/>
      <c r="L13" s="21"/>
      <c r="M13" s="111"/>
      <c r="N13" s="120"/>
      <c r="O13" s="120"/>
      <c r="P13" s="21"/>
      <c r="Q13" s="13"/>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row>
    <row r="14" spans="1:80" ht="27" customHeight="1" x14ac:dyDescent="0.25">
      <c r="A14" s="104"/>
      <c r="B14" s="10"/>
      <c r="C14" s="124"/>
      <c r="D14" s="111"/>
      <c r="E14" s="21"/>
      <c r="F14" s="129" t="s">
        <v>227</v>
      </c>
      <c r="G14" s="21"/>
      <c r="H14" s="21"/>
      <c r="I14" s="21"/>
      <c r="J14" s="21"/>
      <c r="K14" s="21"/>
      <c r="L14" s="21"/>
      <c r="M14" s="111"/>
      <c r="N14" s="120"/>
      <c r="O14" s="120"/>
      <c r="P14" s="21"/>
      <c r="Q14" s="13"/>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row>
    <row r="15" spans="1:80" ht="29.25" customHeight="1" x14ac:dyDescent="0.25">
      <c r="A15" s="104"/>
      <c r="B15" s="10"/>
      <c r="C15" s="11"/>
      <c r="D15" s="21"/>
      <c r="F15" s="129" t="s">
        <v>226</v>
      </c>
      <c r="G15" s="21"/>
      <c r="H15" s="21"/>
      <c r="I15" s="21"/>
      <c r="J15" s="21"/>
      <c r="K15" s="21"/>
      <c r="L15" s="21"/>
      <c r="M15" s="21"/>
      <c r="N15" s="21"/>
      <c r="O15" s="21"/>
      <c r="P15" s="21"/>
      <c r="Q15" s="13"/>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row>
    <row r="16" spans="1:80" ht="30" customHeight="1" x14ac:dyDescent="0.25">
      <c r="A16" s="104"/>
      <c r="B16" s="10"/>
      <c r="C16" s="11"/>
      <c r="D16" s="21"/>
      <c r="E16" s="128" t="str">
        <f>FIXED(MatrixImpact!I13,0,FALSE())&amp;" mio Euro"</f>
        <v>30 mio Euro</v>
      </c>
      <c r="F16" s="129" t="s">
        <v>426</v>
      </c>
      <c r="G16" s="11"/>
      <c r="H16" s="11"/>
      <c r="I16" s="11"/>
      <c r="J16" s="11"/>
      <c r="K16" s="11"/>
      <c r="L16" s="21"/>
      <c r="M16" s="21"/>
      <c r="N16" s="21"/>
      <c r="O16" s="21"/>
      <c r="P16" s="21"/>
      <c r="Q16" s="13"/>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row>
    <row r="17" spans="1:80" ht="30" customHeight="1" x14ac:dyDescent="0.25">
      <c r="A17" s="104"/>
      <c r="B17" s="10"/>
      <c r="C17" s="11"/>
      <c r="D17" s="21"/>
      <c r="E17" s="128">
        <f>G10</f>
        <v>10</v>
      </c>
      <c r="F17" s="129" t="s">
        <v>427</v>
      </c>
      <c r="G17" s="11"/>
      <c r="H17" s="11"/>
      <c r="I17" s="11"/>
      <c r="J17" s="11"/>
      <c r="K17" s="11"/>
      <c r="L17" s="21"/>
      <c r="M17" s="21"/>
      <c r="N17" s="21"/>
      <c r="O17" s="21"/>
      <c r="P17" s="21"/>
      <c r="Q17" s="13"/>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row>
    <row r="18" spans="1:80" ht="30" customHeight="1" x14ac:dyDescent="0.25">
      <c r="A18" s="104"/>
      <c r="B18" s="10"/>
      <c r="C18" s="11"/>
      <c r="D18" s="21"/>
      <c r="E18" s="128">
        <f>F10</f>
        <v>5</v>
      </c>
      <c r="F18" s="129" t="s">
        <v>428</v>
      </c>
      <c r="G18" s="11"/>
      <c r="H18" s="11"/>
      <c r="I18" s="11"/>
      <c r="J18" s="11"/>
      <c r="K18" s="11"/>
      <c r="L18" s="21"/>
      <c r="M18" s="21"/>
      <c r="N18" s="21"/>
      <c r="O18" s="21"/>
      <c r="P18" s="21"/>
      <c r="Q18" s="13"/>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row>
    <row r="19" spans="1:80" ht="30" customHeight="1" x14ac:dyDescent="0.25">
      <c r="B19" s="10"/>
      <c r="C19" s="11"/>
      <c r="D19" s="21"/>
      <c r="E19" s="128">
        <f>E10</f>
        <v>2</v>
      </c>
      <c r="F19" s="129" t="s">
        <v>429</v>
      </c>
      <c r="G19" s="11"/>
      <c r="H19" s="11"/>
      <c r="I19" s="11"/>
      <c r="J19" s="11"/>
      <c r="K19" s="11"/>
      <c r="L19" s="21"/>
      <c r="M19" s="21"/>
      <c r="N19" s="21"/>
      <c r="O19" s="21"/>
      <c r="P19" s="21"/>
      <c r="Q19" s="13"/>
    </row>
    <row r="20" spans="1:80" ht="30" customHeight="1" x14ac:dyDescent="0.25">
      <c r="B20" s="10"/>
      <c r="C20" s="130"/>
      <c r="D20" s="21"/>
      <c r="E20" s="128">
        <v>0</v>
      </c>
      <c r="F20" s="129" t="s">
        <v>430</v>
      </c>
      <c r="G20" s="131">
        <f>MatrixImpact!C4</f>
        <v>0</v>
      </c>
      <c r="H20" s="131">
        <f>MatrixImpact!C5</f>
        <v>0.1</v>
      </c>
      <c r="I20" s="131">
        <f>MatrixImpact!C6</f>
        <v>0.3</v>
      </c>
      <c r="J20" s="131">
        <f>MatrixImpact!C7</f>
        <v>0.5</v>
      </c>
      <c r="K20" s="131">
        <f>MatrixImpact!C8</f>
        <v>0.9</v>
      </c>
      <c r="L20" s="132">
        <v>1</v>
      </c>
      <c r="M20" s="21"/>
      <c r="N20" s="21"/>
      <c r="O20" s="21"/>
      <c r="P20" s="21"/>
      <c r="Q20" s="13"/>
    </row>
    <row r="21" spans="1:80" ht="56.25" customHeight="1" x14ac:dyDescent="0.25">
      <c r="B21" s="10"/>
      <c r="C21" s="21"/>
      <c r="D21" s="21"/>
      <c r="E21" s="11"/>
      <c r="F21" s="11"/>
      <c r="G21" s="133" t="str">
        <f>"1: Rare: very unlikely to occur during the "&amp;Parameters!E17</f>
        <v>1: Rare: very unlikely to occur during the next 3 - 5 years</v>
      </c>
      <c r="H21" s="133" t="str">
        <f>"2: Not impossible to occur during the "&amp;Parameters!E17</f>
        <v>2: Not impossible to occur during the next 3 - 5 years</v>
      </c>
      <c r="I21" s="133" t="str">
        <f>"3: Possible: can be expected at least once in the "&amp;Parameters!E17</f>
        <v>3: Possible: can be expected at least once in the next 3 - 5 years</v>
      </c>
      <c r="J21" s="133" t="str">
        <f>"4: Likely to arise once during the "&amp;Parameters!E17</f>
        <v>4: Likely to arise once during the next 3 - 5 years</v>
      </c>
      <c r="K21" s="133" t="str">
        <f>"5: Almost certain: will occur several times during the "&amp;Parameters!E17</f>
        <v>5: Almost certain: will occur several times during the next 3 - 5 years</v>
      </c>
      <c r="L21" s="21"/>
      <c r="M21" s="21"/>
      <c r="N21" s="21"/>
      <c r="O21" s="21"/>
      <c r="P21" s="21"/>
      <c r="Q21" s="13"/>
    </row>
    <row r="22" spans="1:80" ht="15" customHeight="1" x14ac:dyDescent="0.25">
      <c r="B22" s="10"/>
      <c r="C22" s="89" t="s">
        <v>431</v>
      </c>
      <c r="D22" s="134"/>
      <c r="E22" s="134"/>
      <c r="F22" s="134"/>
      <c r="G22" s="135"/>
      <c r="H22" s="135"/>
      <c r="I22" s="135"/>
      <c r="J22" s="135"/>
      <c r="K22" s="135"/>
      <c r="L22" s="21"/>
      <c r="M22" s="21"/>
      <c r="N22" s="21"/>
      <c r="O22" s="21"/>
      <c r="P22" s="21"/>
      <c r="Q22" s="13"/>
    </row>
    <row r="23" spans="1:80" ht="21" customHeight="1" x14ac:dyDescent="0.25">
      <c r="B23" s="10"/>
      <c r="C23" s="89"/>
      <c r="D23" s="134"/>
      <c r="E23" s="134"/>
      <c r="F23" s="134"/>
      <c r="G23" s="135"/>
      <c r="H23" s="135"/>
      <c r="I23" s="135"/>
      <c r="J23" s="135"/>
      <c r="K23" s="135"/>
      <c r="L23" s="21"/>
      <c r="M23" s="21"/>
      <c r="N23" s="21"/>
      <c r="O23" s="21"/>
      <c r="P23" s="21"/>
      <c r="Q23" s="13"/>
    </row>
    <row r="24" spans="1:80" ht="15" customHeight="1" x14ac:dyDescent="0.25">
      <c r="B24" s="10"/>
      <c r="C24" s="21"/>
      <c r="D24" s="407" t="s">
        <v>432</v>
      </c>
      <c r="E24" s="407"/>
      <c r="F24" s="407" t="s">
        <v>433</v>
      </c>
      <c r="G24" s="407"/>
      <c r="H24" s="407" t="s">
        <v>434</v>
      </c>
      <c r="I24" s="407"/>
      <c r="J24" s="407" t="s">
        <v>435</v>
      </c>
      <c r="K24" s="407"/>
      <c r="L24" s="407" t="s">
        <v>436</v>
      </c>
      <c r="M24" s="407"/>
      <c r="N24" s="21"/>
      <c r="O24" s="21"/>
      <c r="P24" s="21"/>
      <c r="Q24" s="13"/>
    </row>
    <row r="25" spans="1:80" ht="79.5" customHeight="1" x14ac:dyDescent="0.25">
      <c r="B25" s="10"/>
      <c r="C25" s="136" t="s">
        <v>437</v>
      </c>
      <c r="D25" s="408" t="s">
        <v>438</v>
      </c>
      <c r="E25" s="408"/>
      <c r="F25" s="409" t="s">
        <v>439</v>
      </c>
      <c r="G25" s="409"/>
      <c r="H25" s="409" t="s">
        <v>440</v>
      </c>
      <c r="I25" s="409"/>
      <c r="J25" s="409" t="s">
        <v>441</v>
      </c>
      <c r="K25" s="409"/>
      <c r="L25" s="409" t="s">
        <v>442</v>
      </c>
      <c r="M25" s="409"/>
      <c r="N25" s="137"/>
      <c r="O25" s="137"/>
      <c r="P25" s="21"/>
      <c r="Q25" s="13"/>
    </row>
    <row r="26" spans="1:80" ht="79.5" customHeight="1" x14ac:dyDescent="0.25">
      <c r="B26" s="10"/>
      <c r="C26" s="138" t="s">
        <v>443</v>
      </c>
      <c r="D26" s="410" t="s">
        <v>444</v>
      </c>
      <c r="E26" s="410"/>
      <c r="F26" s="411" t="s">
        <v>445</v>
      </c>
      <c r="G26" s="411"/>
      <c r="H26" s="411" t="s">
        <v>446</v>
      </c>
      <c r="I26" s="411"/>
      <c r="J26" s="411" t="s">
        <v>447</v>
      </c>
      <c r="K26" s="411"/>
      <c r="L26" s="411" t="s">
        <v>448</v>
      </c>
      <c r="M26" s="411"/>
      <c r="N26" s="137"/>
      <c r="O26" s="137"/>
      <c r="P26" s="137"/>
      <c r="Q26" s="13"/>
    </row>
    <row r="27" spans="1:80" ht="79.5" customHeight="1" x14ac:dyDescent="0.25">
      <c r="B27" s="10"/>
      <c r="C27" s="138" t="s">
        <v>449</v>
      </c>
      <c r="D27" s="410" t="s">
        <v>450</v>
      </c>
      <c r="E27" s="410"/>
      <c r="F27" s="411" t="s">
        <v>451</v>
      </c>
      <c r="G27" s="411"/>
      <c r="H27" s="411" t="s">
        <v>452</v>
      </c>
      <c r="I27" s="411"/>
      <c r="J27" s="411" t="s">
        <v>453</v>
      </c>
      <c r="K27" s="411"/>
      <c r="L27" s="411" t="s">
        <v>454</v>
      </c>
      <c r="M27" s="411"/>
      <c r="N27" s="137"/>
      <c r="O27" s="137"/>
      <c r="P27" s="137"/>
      <c r="Q27" s="13"/>
    </row>
    <row r="28" spans="1:80" ht="79.5" customHeight="1" x14ac:dyDescent="0.25">
      <c r="B28" s="10"/>
      <c r="C28" s="138" t="s">
        <v>455</v>
      </c>
      <c r="D28" s="410" t="s">
        <v>456</v>
      </c>
      <c r="E28" s="410"/>
      <c r="F28" s="411" t="s">
        <v>457</v>
      </c>
      <c r="G28" s="411"/>
      <c r="H28" s="411" t="s">
        <v>458</v>
      </c>
      <c r="I28" s="411"/>
      <c r="J28" s="411" t="s">
        <v>459</v>
      </c>
      <c r="K28" s="411"/>
      <c r="L28" s="411" t="s">
        <v>460</v>
      </c>
      <c r="M28" s="411"/>
      <c r="N28" s="137"/>
      <c r="O28" s="137"/>
      <c r="P28" s="137"/>
      <c r="Q28" s="13"/>
    </row>
    <row r="29" spans="1:80" ht="79.5" customHeight="1" x14ac:dyDescent="0.25">
      <c r="B29" s="10"/>
      <c r="C29" s="139" t="s">
        <v>461</v>
      </c>
      <c r="D29" s="414" t="s">
        <v>462</v>
      </c>
      <c r="E29" s="414"/>
      <c r="F29" s="412" t="s">
        <v>463</v>
      </c>
      <c r="G29" s="412"/>
      <c r="H29" s="412" t="s">
        <v>464</v>
      </c>
      <c r="I29" s="412"/>
      <c r="J29" s="412" t="s">
        <v>465</v>
      </c>
      <c r="K29" s="412"/>
      <c r="L29" s="412" t="s">
        <v>466</v>
      </c>
      <c r="M29" s="412"/>
      <c r="N29" s="137"/>
      <c r="O29" s="137"/>
      <c r="P29" s="137"/>
      <c r="Q29" s="13"/>
    </row>
    <row r="30" spans="1:80" ht="9" customHeight="1" x14ac:dyDescent="0.25">
      <c r="B30" s="35"/>
      <c r="C30" s="413"/>
      <c r="D30" s="413"/>
      <c r="E30" s="413"/>
      <c r="F30" s="413"/>
      <c r="G30" s="413"/>
      <c r="H30" s="413"/>
      <c r="I30" s="140"/>
      <c r="J30" s="140"/>
      <c r="K30" s="140"/>
      <c r="L30" s="140"/>
      <c r="M30" s="140"/>
      <c r="N30" s="140"/>
      <c r="O30" s="140"/>
      <c r="P30" s="140"/>
      <c r="Q30" s="38"/>
    </row>
  </sheetData>
  <mergeCells count="35">
    <mergeCell ref="C30:E30"/>
    <mergeCell ref="F30:H30"/>
    <mergeCell ref="D29:E29"/>
    <mergeCell ref="F29:G29"/>
    <mergeCell ref="H29:I29"/>
    <mergeCell ref="J29:K29"/>
    <mergeCell ref="L29:M29"/>
    <mergeCell ref="D28:E28"/>
    <mergeCell ref="F28:G28"/>
    <mergeCell ref="H28:I28"/>
    <mergeCell ref="J28:K28"/>
    <mergeCell ref="L28:M28"/>
    <mergeCell ref="D27:E27"/>
    <mergeCell ref="F27:G27"/>
    <mergeCell ref="H27:I27"/>
    <mergeCell ref="J27:K27"/>
    <mergeCell ref="L27:M27"/>
    <mergeCell ref="D26:E26"/>
    <mergeCell ref="F26:G26"/>
    <mergeCell ref="H26:I26"/>
    <mergeCell ref="J26:K26"/>
    <mergeCell ref="L26:M26"/>
    <mergeCell ref="D25:E25"/>
    <mergeCell ref="F25:G25"/>
    <mergeCell ref="H25:I25"/>
    <mergeCell ref="J25:K25"/>
    <mergeCell ref="L25:M25"/>
    <mergeCell ref="J3:P3"/>
    <mergeCell ref="F7:I7"/>
    <mergeCell ref="K7:L7"/>
    <mergeCell ref="D24:E24"/>
    <mergeCell ref="F24:G24"/>
    <mergeCell ref="H24:I24"/>
    <mergeCell ref="J24:K24"/>
    <mergeCell ref="L24:M24"/>
  </mergeCells>
  <dataValidations disablePrompts="1" count="3">
    <dataValidation type="whole" allowBlank="1" sqref="I10" xr:uid="{00000000-0002-0000-0600-000000000000}">
      <formula1>0</formula1>
      <formula2>1000</formula2>
    </dataValidation>
    <dataValidation type="decimal" allowBlank="1" sqref="O8" xr:uid="{00000000-0002-0000-0600-000001000000}">
      <formula1>0</formula1>
      <formula2>O9</formula2>
    </dataValidation>
    <dataValidation type="decimal" allowBlank="1" sqref="O9:O11" xr:uid="{00000000-0002-0000-0600-000002000000}">
      <formula1>O8</formula1>
      <formula2>O10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A60"/>
  <sheetViews>
    <sheetView zoomScaleNormal="100" workbookViewId="0">
      <selection activeCell="D9" sqref="D9"/>
    </sheetView>
  </sheetViews>
  <sheetFormatPr defaultColWidth="8.7109375" defaultRowHeight="15" x14ac:dyDescent="0.25"/>
  <cols>
    <col min="1" max="1" width="1.5703125" customWidth="1"/>
    <col min="3" max="3" width="5.85546875" customWidth="1"/>
    <col min="4" max="4" width="36.7109375" customWidth="1"/>
    <col min="6" max="6" width="13.5703125" customWidth="1"/>
    <col min="8" max="8" width="11.7109375" customWidth="1"/>
    <col min="9" max="9" width="13.5703125" customWidth="1"/>
    <col min="10" max="10" width="11" customWidth="1"/>
    <col min="11" max="11" width="18.85546875" customWidth="1"/>
    <col min="12" max="12" width="36.7109375" customWidth="1"/>
    <col min="13" max="13" width="10.7109375" customWidth="1"/>
    <col min="14" max="14" width="45.7109375" customWidth="1"/>
    <col min="15" max="15" width="1.5703125" customWidth="1"/>
    <col min="17" max="17" width="8" customWidth="1"/>
  </cols>
  <sheetData>
    <row r="2" spans="1:53" ht="12.75" customHeight="1" x14ac:dyDescent="0.25">
      <c r="A2" s="141"/>
      <c r="B2" s="7"/>
      <c r="C2" s="142"/>
      <c r="D2" s="8"/>
      <c r="E2" s="8"/>
      <c r="F2" s="8"/>
      <c r="G2" s="8"/>
      <c r="H2" s="8"/>
      <c r="I2" s="8"/>
      <c r="J2" s="8"/>
      <c r="K2" s="8"/>
      <c r="L2" s="8"/>
      <c r="M2" s="8"/>
      <c r="N2" s="8"/>
      <c r="O2" s="9"/>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row>
    <row r="3" spans="1:53" ht="24" customHeight="1" x14ac:dyDescent="0.25">
      <c r="A3" s="141"/>
      <c r="B3" s="10"/>
      <c r="C3" s="143" t="str">
        <f>IF(SelectedBU="","",INDEX(ReportingUnits,SelectedBU,1))</f>
        <v>Company 3</v>
      </c>
      <c r="D3" s="144"/>
      <c r="E3" s="144"/>
      <c r="F3" s="144"/>
      <c r="G3" s="144"/>
      <c r="H3" s="391" t="str">
        <f>"Top 10 Risks that could occur within the "&amp;Parameters!E17</f>
        <v>Top 10 Risks that could occur within the next 3 - 5 years</v>
      </c>
      <c r="I3" s="391"/>
      <c r="J3" s="391"/>
      <c r="K3" s="391"/>
      <c r="L3" s="391"/>
      <c r="M3" s="391"/>
      <c r="N3" s="145"/>
      <c r="O3" s="13"/>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row>
    <row r="4" spans="1:53" ht="4.5" customHeight="1" x14ac:dyDescent="0.25">
      <c r="A4" s="141"/>
      <c r="B4" s="10"/>
      <c r="C4" s="146"/>
      <c r="D4" s="15"/>
      <c r="E4" s="15"/>
      <c r="F4" s="15"/>
      <c r="G4" s="15"/>
      <c r="H4" s="15"/>
      <c r="I4" s="15"/>
      <c r="J4" s="15"/>
      <c r="K4" s="15"/>
      <c r="L4" s="15"/>
      <c r="M4" s="15"/>
      <c r="N4" s="15"/>
      <c r="O4" s="13"/>
      <c r="P4" s="147"/>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row>
    <row r="5" spans="1:53" ht="4.5" customHeight="1" x14ac:dyDescent="0.25">
      <c r="A5" s="141"/>
      <c r="B5" s="10"/>
      <c r="C5" s="148"/>
      <c r="D5" s="11"/>
      <c r="E5" s="11"/>
      <c r="F5" s="11"/>
      <c r="G5" s="11"/>
      <c r="H5" s="11"/>
      <c r="I5" s="11"/>
      <c r="J5" s="11"/>
      <c r="K5" s="11"/>
      <c r="L5" s="11"/>
      <c r="M5" s="11"/>
      <c r="N5" s="11"/>
      <c r="O5" s="13"/>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row>
    <row r="6" spans="1:53" ht="15" customHeight="1" x14ac:dyDescent="0.25">
      <c r="A6" s="141"/>
      <c r="B6" s="10"/>
      <c r="C6" s="415" t="s">
        <v>467</v>
      </c>
      <c r="D6" s="415" t="s">
        <v>468</v>
      </c>
      <c r="E6" s="415" t="s">
        <v>469</v>
      </c>
      <c r="F6" s="416" t="s">
        <v>470</v>
      </c>
      <c r="G6" s="416"/>
      <c r="H6" s="417" t="s">
        <v>471</v>
      </c>
      <c r="I6" s="417"/>
      <c r="J6" s="417"/>
      <c r="K6" s="415" t="s">
        <v>472</v>
      </c>
      <c r="L6" s="416" t="s">
        <v>473</v>
      </c>
      <c r="M6" s="416"/>
      <c r="N6" s="420" t="str">
        <f>"Explanatory Comments as compared to the previous Quarterly reporting"</f>
        <v>Explanatory Comments as compared to the previous Quarterly reporting</v>
      </c>
      <c r="O6" s="13"/>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row>
    <row r="7" spans="1:53" ht="15" customHeight="1" x14ac:dyDescent="0.25">
      <c r="A7" s="141"/>
      <c r="B7" s="10"/>
      <c r="C7" s="415"/>
      <c r="D7" s="415"/>
      <c r="E7" s="415"/>
      <c r="F7" s="418" t="s">
        <v>474</v>
      </c>
      <c r="G7" s="418" t="s">
        <v>475</v>
      </c>
      <c r="H7" s="418" t="s">
        <v>18</v>
      </c>
      <c r="I7" s="418"/>
      <c r="J7" s="418" t="s">
        <v>476</v>
      </c>
      <c r="K7" s="415"/>
      <c r="L7" s="418" t="s">
        <v>477</v>
      </c>
      <c r="M7" s="418" t="s">
        <v>478</v>
      </c>
      <c r="N7" s="420"/>
      <c r="O7" s="13"/>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row>
    <row r="8" spans="1:53" ht="15" customHeight="1" x14ac:dyDescent="0.25">
      <c r="A8" s="141"/>
      <c r="B8" s="10"/>
      <c r="C8" s="415"/>
      <c r="D8" s="415"/>
      <c r="E8" s="415"/>
      <c r="F8" s="415"/>
      <c r="G8" s="415"/>
      <c r="H8" s="149" t="s">
        <v>112</v>
      </c>
      <c r="I8" s="150" t="s">
        <v>479</v>
      </c>
      <c r="J8" s="418"/>
      <c r="K8" s="418"/>
      <c r="L8" s="418"/>
      <c r="M8" s="418"/>
      <c r="N8" s="420"/>
      <c r="O8" s="13"/>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row>
    <row r="9" spans="1:53" ht="16.5" customHeight="1" x14ac:dyDescent="0.25">
      <c r="A9" s="151"/>
      <c r="B9" s="152"/>
      <c r="C9" s="153">
        <v>1</v>
      </c>
      <c r="D9" s="154"/>
      <c r="E9" s="154"/>
      <c r="F9" s="154"/>
      <c r="G9" s="154"/>
      <c r="H9" s="155"/>
      <c r="I9" s="156"/>
      <c r="J9" s="157"/>
      <c r="K9" s="158"/>
      <c r="L9" s="159"/>
      <c r="M9" s="160"/>
      <c r="N9" s="161"/>
      <c r="O9" s="162"/>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row>
    <row r="10" spans="1:53" ht="16.5" customHeight="1" x14ac:dyDescent="0.25">
      <c r="A10" s="151"/>
      <c r="B10" s="152"/>
      <c r="C10" s="153">
        <v>2</v>
      </c>
      <c r="D10" s="154"/>
      <c r="E10" s="154"/>
      <c r="F10" s="154"/>
      <c r="G10" s="154"/>
      <c r="H10" s="155"/>
      <c r="I10" s="156"/>
      <c r="J10" s="157"/>
      <c r="K10" s="158"/>
      <c r="L10" s="159"/>
      <c r="M10" s="160"/>
      <c r="N10" s="161"/>
      <c r="O10" s="162"/>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51"/>
      <c r="AX10" s="151"/>
      <c r="AY10" s="151"/>
      <c r="AZ10" s="151"/>
      <c r="BA10" s="151"/>
    </row>
    <row r="11" spans="1:53" ht="16.5" customHeight="1" x14ac:dyDescent="0.25">
      <c r="A11" s="151"/>
      <c r="B11" s="152"/>
      <c r="C11" s="153">
        <v>3</v>
      </c>
      <c r="D11" s="154"/>
      <c r="E11" s="154"/>
      <c r="F11" s="154"/>
      <c r="G11" s="154"/>
      <c r="H11" s="155"/>
      <c r="I11" s="156"/>
      <c r="J11" s="157"/>
      <c r="K11" s="158"/>
      <c r="L11" s="159"/>
      <c r="M11" s="160"/>
      <c r="N11" s="161"/>
      <c r="O11" s="162"/>
      <c r="P11" s="151"/>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row>
    <row r="12" spans="1:53" ht="16.5" customHeight="1" x14ac:dyDescent="0.25">
      <c r="A12" s="151"/>
      <c r="B12" s="152"/>
      <c r="C12" s="153">
        <v>4</v>
      </c>
      <c r="D12" s="154"/>
      <c r="E12" s="154"/>
      <c r="F12" s="154"/>
      <c r="G12" s="154"/>
      <c r="H12" s="155"/>
      <c r="I12" s="156"/>
      <c r="J12" s="157"/>
      <c r="K12" s="158"/>
      <c r="L12" s="159"/>
      <c r="M12" s="160"/>
      <c r="N12" s="161"/>
      <c r="O12" s="162"/>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151"/>
      <c r="AU12" s="151"/>
      <c r="AV12" s="151"/>
      <c r="AW12" s="151"/>
      <c r="AX12" s="151"/>
      <c r="AY12" s="151"/>
      <c r="AZ12" s="151"/>
      <c r="BA12" s="151"/>
    </row>
    <row r="13" spans="1:53" ht="16.5" customHeight="1" x14ac:dyDescent="0.25">
      <c r="A13" s="151"/>
      <c r="B13" s="152"/>
      <c r="C13" s="153">
        <v>5</v>
      </c>
      <c r="D13" s="154"/>
      <c r="E13" s="154"/>
      <c r="F13" s="154"/>
      <c r="G13" s="154"/>
      <c r="H13" s="155"/>
      <c r="I13" s="156"/>
      <c r="J13" s="157"/>
      <c r="K13" s="158"/>
      <c r="L13" s="159"/>
      <c r="M13" s="160"/>
      <c r="N13" s="161"/>
      <c r="O13" s="162"/>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row>
    <row r="14" spans="1:53" ht="16.5" customHeight="1" x14ac:dyDescent="0.25">
      <c r="A14" s="151"/>
      <c r="B14" s="152"/>
      <c r="C14" s="153">
        <v>6</v>
      </c>
      <c r="D14" s="154"/>
      <c r="E14" s="154"/>
      <c r="F14" s="154"/>
      <c r="G14" s="154"/>
      <c r="H14" s="155"/>
      <c r="I14" s="156"/>
      <c r="J14" s="157"/>
      <c r="K14" s="158"/>
      <c r="L14" s="159"/>
      <c r="M14" s="160"/>
      <c r="N14" s="161"/>
      <c r="O14" s="162"/>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row>
    <row r="15" spans="1:53" ht="16.5" customHeight="1" x14ac:dyDescent="0.25">
      <c r="A15" s="151"/>
      <c r="B15" s="152"/>
      <c r="C15" s="153">
        <v>7</v>
      </c>
      <c r="D15" s="154"/>
      <c r="E15" s="154"/>
      <c r="F15" s="154"/>
      <c r="G15" s="154"/>
      <c r="H15" s="155"/>
      <c r="I15" s="156"/>
      <c r="J15" s="157"/>
      <c r="K15" s="158"/>
      <c r="L15" s="159"/>
      <c r="M15" s="160"/>
      <c r="N15" s="161"/>
      <c r="O15" s="162"/>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row>
    <row r="16" spans="1:53" ht="16.5" customHeight="1" x14ac:dyDescent="0.25">
      <c r="A16" s="151"/>
      <c r="B16" s="152"/>
      <c r="C16" s="153">
        <v>8</v>
      </c>
      <c r="D16" s="154"/>
      <c r="E16" s="154"/>
      <c r="F16" s="154"/>
      <c r="G16" s="154"/>
      <c r="H16" s="155"/>
      <c r="I16" s="156"/>
      <c r="J16" s="157"/>
      <c r="K16" s="158"/>
      <c r="L16" s="159"/>
      <c r="M16" s="160"/>
      <c r="N16" s="163"/>
      <c r="O16" s="162"/>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row>
    <row r="17" spans="2:15" ht="16.5" customHeight="1" x14ac:dyDescent="0.25">
      <c r="B17" s="152"/>
      <c r="C17" s="153">
        <v>9</v>
      </c>
      <c r="D17" s="154"/>
      <c r="E17" s="154"/>
      <c r="F17" s="154"/>
      <c r="G17" s="154"/>
      <c r="H17" s="155"/>
      <c r="I17" s="156"/>
      <c r="J17" s="157"/>
      <c r="K17" s="158"/>
      <c r="L17" s="159"/>
      <c r="M17" s="160"/>
      <c r="N17" s="161"/>
      <c r="O17" s="162"/>
    </row>
    <row r="18" spans="2:15" ht="16.5" customHeight="1" x14ac:dyDescent="0.25">
      <c r="B18" s="152"/>
      <c r="C18" s="153">
        <v>10</v>
      </c>
      <c r="D18" s="154"/>
      <c r="E18" s="154"/>
      <c r="F18" s="154"/>
      <c r="G18" s="154"/>
      <c r="H18" s="155"/>
      <c r="I18" s="156"/>
      <c r="J18" s="157"/>
      <c r="K18" s="158"/>
      <c r="L18" s="159"/>
      <c r="M18" s="160"/>
      <c r="N18" s="161"/>
      <c r="O18" s="162"/>
    </row>
    <row r="19" spans="2:15" ht="16.5" customHeight="1" x14ac:dyDescent="0.25">
      <c r="B19" s="152"/>
      <c r="C19" s="153">
        <v>11</v>
      </c>
      <c r="D19" s="154"/>
      <c r="E19" s="154"/>
      <c r="F19" s="154"/>
      <c r="G19" s="154"/>
      <c r="H19" s="155"/>
      <c r="I19" s="156"/>
      <c r="J19" s="157"/>
      <c r="K19" s="158"/>
      <c r="L19" s="159"/>
      <c r="M19" s="160"/>
      <c r="N19" s="161"/>
      <c r="O19" s="162"/>
    </row>
    <row r="20" spans="2:15" ht="16.5" customHeight="1" x14ac:dyDescent="0.25">
      <c r="B20" s="152"/>
      <c r="C20" s="153">
        <v>12</v>
      </c>
      <c r="D20" s="154"/>
      <c r="E20" s="154"/>
      <c r="F20" s="154"/>
      <c r="G20" s="154"/>
      <c r="H20" s="155"/>
      <c r="I20" s="156"/>
      <c r="J20" s="157"/>
      <c r="K20" s="158"/>
      <c r="L20" s="159"/>
      <c r="M20" s="160"/>
      <c r="N20" s="161"/>
      <c r="O20" s="162"/>
    </row>
    <row r="21" spans="2:15" ht="16.5" customHeight="1" x14ac:dyDescent="0.25">
      <c r="B21" s="152"/>
      <c r="C21" s="153">
        <v>13</v>
      </c>
      <c r="D21" s="154"/>
      <c r="E21" s="154"/>
      <c r="F21" s="154"/>
      <c r="G21" s="154"/>
      <c r="H21" s="155"/>
      <c r="I21" s="156"/>
      <c r="J21" s="157"/>
      <c r="K21" s="158"/>
      <c r="L21" s="159"/>
      <c r="M21" s="164"/>
      <c r="N21" s="163"/>
      <c r="O21" s="162"/>
    </row>
    <row r="22" spans="2:15" ht="16.5" customHeight="1" x14ac:dyDescent="0.25">
      <c r="B22" s="152"/>
      <c r="C22" s="153">
        <v>14</v>
      </c>
      <c r="D22" s="154"/>
      <c r="E22" s="154"/>
      <c r="F22" s="154"/>
      <c r="G22" s="154"/>
      <c r="H22" s="155"/>
      <c r="I22" s="156"/>
      <c r="J22" s="157"/>
      <c r="K22" s="158"/>
      <c r="L22" s="159"/>
      <c r="M22" s="164"/>
      <c r="N22" s="163"/>
      <c r="O22" s="162"/>
    </row>
    <row r="23" spans="2:15" ht="16.5" customHeight="1" x14ac:dyDescent="0.25">
      <c r="B23" s="152"/>
      <c r="C23" s="153">
        <v>15</v>
      </c>
      <c r="D23" s="154"/>
      <c r="E23" s="154"/>
      <c r="F23" s="154"/>
      <c r="G23" s="154"/>
      <c r="H23" s="155"/>
      <c r="I23" s="156"/>
      <c r="J23" s="157"/>
      <c r="K23" s="158"/>
      <c r="L23" s="159"/>
      <c r="M23" s="164"/>
      <c r="N23" s="163"/>
      <c r="O23" s="162"/>
    </row>
    <row r="24" spans="2:15" ht="16.5" customHeight="1" x14ac:dyDescent="0.25">
      <c r="B24" s="152"/>
      <c r="C24" s="153">
        <v>16</v>
      </c>
      <c r="D24" s="154"/>
      <c r="E24" s="154"/>
      <c r="F24" s="154"/>
      <c r="G24" s="154"/>
      <c r="H24" s="155"/>
      <c r="I24" s="156"/>
      <c r="J24" s="157"/>
      <c r="K24" s="158"/>
      <c r="L24" s="159"/>
      <c r="M24" s="164"/>
      <c r="N24" s="163"/>
      <c r="O24" s="162"/>
    </row>
    <row r="25" spans="2:15" ht="16.5" customHeight="1" x14ac:dyDescent="0.25">
      <c r="B25" s="152"/>
      <c r="C25" s="153">
        <v>17</v>
      </c>
      <c r="D25" s="154"/>
      <c r="E25" s="154"/>
      <c r="F25" s="154"/>
      <c r="G25" s="154"/>
      <c r="H25" s="155"/>
      <c r="I25" s="156"/>
      <c r="J25" s="157"/>
      <c r="K25" s="158"/>
      <c r="L25" s="159"/>
      <c r="M25" s="164"/>
      <c r="N25" s="163"/>
      <c r="O25" s="162"/>
    </row>
    <row r="26" spans="2:15" ht="16.5" customHeight="1" x14ac:dyDescent="0.25">
      <c r="B26" s="152"/>
      <c r="C26" s="153">
        <v>18</v>
      </c>
      <c r="D26" s="154"/>
      <c r="E26" s="154"/>
      <c r="F26" s="154"/>
      <c r="G26" s="154"/>
      <c r="H26" s="155"/>
      <c r="I26" s="156"/>
      <c r="J26" s="157"/>
      <c r="K26" s="158"/>
      <c r="L26" s="159"/>
      <c r="M26" s="164"/>
      <c r="N26" s="163"/>
      <c r="O26" s="162"/>
    </row>
    <row r="27" spans="2:15" ht="20.25" customHeight="1" x14ac:dyDescent="0.25">
      <c r="B27" s="152"/>
      <c r="C27" s="153">
        <v>19</v>
      </c>
      <c r="D27" s="154"/>
      <c r="E27" s="154"/>
      <c r="F27" s="154"/>
      <c r="G27" s="154"/>
      <c r="H27" s="155"/>
      <c r="I27" s="156"/>
      <c r="J27" s="157"/>
      <c r="K27" s="158"/>
      <c r="L27" s="159"/>
      <c r="M27" s="164"/>
      <c r="N27" s="163"/>
      <c r="O27" s="162"/>
    </row>
    <row r="28" spans="2:15" ht="20.25" customHeight="1" x14ac:dyDescent="0.25">
      <c r="B28" s="152"/>
      <c r="C28" s="153">
        <v>20</v>
      </c>
      <c r="D28" s="154"/>
      <c r="E28" s="154"/>
      <c r="F28" s="154"/>
      <c r="G28" s="154"/>
      <c r="H28" s="165"/>
      <c r="I28" s="156"/>
      <c r="J28" s="157"/>
      <c r="K28" s="158"/>
      <c r="L28" s="159"/>
      <c r="M28" s="164"/>
      <c r="N28" s="163"/>
      <c r="O28" s="162"/>
    </row>
    <row r="29" spans="2:15" ht="20.25" customHeight="1" x14ac:dyDescent="0.25">
      <c r="B29" s="152"/>
      <c r="C29" s="153">
        <v>21</v>
      </c>
      <c r="D29" s="154"/>
      <c r="E29" s="154"/>
      <c r="F29" s="154"/>
      <c r="G29" s="154"/>
      <c r="H29" s="165"/>
      <c r="I29" s="156"/>
      <c r="J29" s="157"/>
      <c r="K29" s="158"/>
      <c r="L29" s="159"/>
      <c r="M29" s="164"/>
      <c r="N29" s="163"/>
      <c r="O29" s="162"/>
    </row>
    <row r="30" spans="2:15" ht="20.25" customHeight="1" x14ac:dyDescent="0.25">
      <c r="B30" s="152"/>
      <c r="C30" s="153">
        <v>22</v>
      </c>
      <c r="D30" s="154"/>
      <c r="E30" s="154"/>
      <c r="F30" s="154"/>
      <c r="G30" s="154"/>
      <c r="H30" s="165"/>
      <c r="I30" s="156"/>
      <c r="J30" s="157"/>
      <c r="K30" s="158"/>
      <c r="L30" s="159"/>
      <c r="M30" s="164"/>
      <c r="N30" s="163"/>
      <c r="O30" s="162"/>
    </row>
    <row r="31" spans="2:15" ht="20.25" customHeight="1" x14ac:dyDescent="0.25">
      <c r="B31" s="152"/>
      <c r="C31" s="153">
        <v>23</v>
      </c>
      <c r="D31" s="154"/>
      <c r="E31" s="154"/>
      <c r="F31" s="154"/>
      <c r="G31" s="154"/>
      <c r="H31" s="165"/>
      <c r="I31" s="156"/>
      <c r="J31" s="157"/>
      <c r="K31" s="158"/>
      <c r="L31" s="159"/>
      <c r="M31" s="164"/>
      <c r="N31" s="163"/>
      <c r="O31" s="162"/>
    </row>
    <row r="32" spans="2:15" ht="20.25" customHeight="1" x14ac:dyDescent="0.25">
      <c r="B32" s="152"/>
      <c r="C32" s="153">
        <v>24</v>
      </c>
      <c r="D32" s="154"/>
      <c r="E32" s="154"/>
      <c r="F32" s="154"/>
      <c r="G32" s="154"/>
      <c r="H32" s="165"/>
      <c r="I32" s="156"/>
      <c r="J32" s="157"/>
      <c r="K32" s="158"/>
      <c r="L32" s="159"/>
      <c r="M32" s="164"/>
      <c r="N32" s="163"/>
      <c r="O32" s="162"/>
    </row>
    <row r="33" spans="2:15" ht="20.25" customHeight="1" x14ac:dyDescent="0.25">
      <c r="B33" s="152"/>
      <c r="C33" s="153">
        <v>25</v>
      </c>
      <c r="D33" s="154"/>
      <c r="E33" s="154"/>
      <c r="F33" s="154"/>
      <c r="G33" s="154"/>
      <c r="H33" s="165"/>
      <c r="I33" s="156"/>
      <c r="J33" s="157"/>
      <c r="K33" s="158"/>
      <c r="L33" s="159"/>
      <c r="M33" s="164"/>
      <c r="N33" s="163"/>
      <c r="O33" s="162"/>
    </row>
    <row r="34" spans="2:15" ht="20.25" customHeight="1" x14ac:dyDescent="0.25">
      <c r="B34" s="152"/>
      <c r="C34" s="153">
        <v>26</v>
      </c>
      <c r="D34" s="154"/>
      <c r="E34" s="154"/>
      <c r="F34" s="154"/>
      <c r="G34" s="154"/>
      <c r="H34" s="165"/>
      <c r="I34" s="156"/>
      <c r="J34" s="157"/>
      <c r="K34" s="158"/>
      <c r="L34" s="159"/>
      <c r="M34" s="164"/>
      <c r="N34" s="163"/>
      <c r="O34" s="162"/>
    </row>
    <row r="35" spans="2:15" ht="20.25" customHeight="1" x14ac:dyDescent="0.25">
      <c r="B35" s="152"/>
      <c r="C35" s="153">
        <v>27</v>
      </c>
      <c r="D35" s="154"/>
      <c r="E35" s="154"/>
      <c r="F35" s="154"/>
      <c r="G35" s="154"/>
      <c r="H35" s="165"/>
      <c r="I35" s="156"/>
      <c r="J35" s="157"/>
      <c r="K35" s="158"/>
      <c r="L35" s="159"/>
      <c r="M35" s="164"/>
      <c r="N35" s="163"/>
      <c r="O35" s="162"/>
    </row>
    <row r="36" spans="2:15" ht="20.25" customHeight="1" x14ac:dyDescent="0.25">
      <c r="B36" s="152"/>
      <c r="C36" s="153">
        <v>28</v>
      </c>
      <c r="D36" s="154"/>
      <c r="E36" s="154"/>
      <c r="F36" s="154"/>
      <c r="G36" s="154"/>
      <c r="H36" s="165"/>
      <c r="I36" s="156"/>
      <c r="J36" s="157"/>
      <c r="K36" s="158"/>
      <c r="L36" s="159"/>
      <c r="M36" s="164"/>
      <c r="N36" s="163"/>
      <c r="O36" s="162"/>
    </row>
    <row r="37" spans="2:15" ht="20.25" customHeight="1" x14ac:dyDescent="0.25">
      <c r="B37" s="152"/>
      <c r="C37" s="153">
        <v>29</v>
      </c>
      <c r="D37" s="154"/>
      <c r="E37" s="154"/>
      <c r="F37" s="154"/>
      <c r="G37" s="154"/>
      <c r="H37" s="165"/>
      <c r="I37" s="156"/>
      <c r="J37" s="157"/>
      <c r="K37" s="158"/>
      <c r="L37" s="159"/>
      <c r="M37" s="164"/>
      <c r="N37" s="163"/>
      <c r="O37" s="162"/>
    </row>
    <row r="38" spans="2:15" ht="20.25" customHeight="1" x14ac:dyDescent="0.25">
      <c r="B38" s="152"/>
      <c r="C38" s="153">
        <v>30</v>
      </c>
      <c r="D38" s="154"/>
      <c r="E38" s="154"/>
      <c r="F38" s="154"/>
      <c r="G38" s="154"/>
      <c r="H38" s="165"/>
      <c r="I38" s="156"/>
      <c r="J38" s="157"/>
      <c r="K38" s="158"/>
      <c r="L38" s="159"/>
      <c r="M38" s="164"/>
      <c r="N38" s="163"/>
      <c r="O38" s="162"/>
    </row>
    <row r="39" spans="2:15" ht="20.25" customHeight="1" x14ac:dyDescent="0.25">
      <c r="B39" s="152"/>
      <c r="C39" s="153">
        <v>31</v>
      </c>
      <c r="D39" s="154"/>
      <c r="E39" s="154"/>
      <c r="F39" s="154"/>
      <c r="G39" s="154"/>
      <c r="H39" s="165"/>
      <c r="I39" s="156"/>
      <c r="J39" s="157"/>
      <c r="K39" s="158"/>
      <c r="L39" s="159"/>
      <c r="M39" s="164"/>
      <c r="N39" s="163"/>
      <c r="O39" s="162"/>
    </row>
    <row r="40" spans="2:15" ht="20.25" customHeight="1" x14ac:dyDescent="0.25">
      <c r="B40" s="152"/>
      <c r="C40" s="153">
        <v>32</v>
      </c>
      <c r="D40" s="154"/>
      <c r="E40" s="154"/>
      <c r="F40" s="154"/>
      <c r="G40" s="154"/>
      <c r="H40" s="165"/>
      <c r="I40" s="156"/>
      <c r="J40" s="157"/>
      <c r="K40" s="158"/>
      <c r="L40" s="159"/>
      <c r="M40" s="164"/>
      <c r="N40" s="163"/>
      <c r="O40" s="162"/>
    </row>
    <row r="41" spans="2:15" ht="20.25" customHeight="1" x14ac:dyDescent="0.25">
      <c r="B41" s="152"/>
      <c r="C41" s="153">
        <v>33</v>
      </c>
      <c r="D41" s="154"/>
      <c r="E41" s="154"/>
      <c r="F41" s="154"/>
      <c r="G41" s="154"/>
      <c r="H41" s="165"/>
      <c r="I41" s="156"/>
      <c r="J41" s="157"/>
      <c r="K41" s="158"/>
      <c r="L41" s="159"/>
      <c r="M41" s="164"/>
      <c r="N41" s="163"/>
      <c r="O41" s="162"/>
    </row>
    <row r="42" spans="2:15" ht="20.25" customHeight="1" x14ac:dyDescent="0.25">
      <c r="B42" s="152"/>
      <c r="C42" s="153">
        <v>34</v>
      </c>
      <c r="D42" s="154"/>
      <c r="E42" s="154"/>
      <c r="F42" s="154"/>
      <c r="G42" s="154"/>
      <c r="H42" s="165"/>
      <c r="I42" s="156"/>
      <c r="J42" s="157"/>
      <c r="K42" s="158"/>
      <c r="L42" s="159"/>
      <c r="M42" s="164"/>
      <c r="N42" s="163"/>
      <c r="O42" s="162"/>
    </row>
    <row r="43" spans="2:15" ht="20.25" customHeight="1" x14ac:dyDescent="0.25">
      <c r="B43" s="152"/>
      <c r="C43" s="153">
        <v>35</v>
      </c>
      <c r="D43" s="154"/>
      <c r="E43" s="154"/>
      <c r="F43" s="154"/>
      <c r="G43" s="154"/>
      <c r="H43" s="165"/>
      <c r="I43" s="156"/>
      <c r="J43" s="157"/>
      <c r="K43" s="158"/>
      <c r="L43" s="159"/>
      <c r="M43" s="164"/>
      <c r="N43" s="163"/>
      <c r="O43" s="162"/>
    </row>
    <row r="44" spans="2:15" ht="20.25" customHeight="1" x14ac:dyDescent="0.25">
      <c r="B44" s="152"/>
      <c r="C44" s="153">
        <v>36</v>
      </c>
      <c r="D44" s="154"/>
      <c r="E44" s="154"/>
      <c r="F44" s="154"/>
      <c r="G44" s="154"/>
      <c r="H44" s="165"/>
      <c r="I44" s="156"/>
      <c r="J44" s="157"/>
      <c r="K44" s="158"/>
      <c r="L44" s="159"/>
      <c r="M44" s="164"/>
      <c r="N44" s="163"/>
      <c r="O44" s="162"/>
    </row>
    <row r="45" spans="2:15" ht="20.25" customHeight="1" x14ac:dyDescent="0.25">
      <c r="B45" s="152"/>
      <c r="C45" s="153">
        <v>37</v>
      </c>
      <c r="D45" s="154"/>
      <c r="E45" s="154"/>
      <c r="F45" s="154"/>
      <c r="G45" s="154"/>
      <c r="H45" s="165"/>
      <c r="I45" s="156"/>
      <c r="J45" s="157"/>
      <c r="K45" s="158"/>
      <c r="L45" s="159"/>
      <c r="M45" s="164"/>
      <c r="N45" s="163"/>
      <c r="O45" s="162"/>
    </row>
    <row r="46" spans="2:15" ht="20.25" customHeight="1" x14ac:dyDescent="0.25">
      <c r="B46" s="152"/>
      <c r="C46" s="153">
        <v>38</v>
      </c>
      <c r="D46" s="154"/>
      <c r="E46" s="154"/>
      <c r="F46" s="154"/>
      <c r="G46" s="154"/>
      <c r="H46" s="165"/>
      <c r="I46" s="156"/>
      <c r="J46" s="157"/>
      <c r="K46" s="158"/>
      <c r="L46" s="159"/>
      <c r="M46" s="164"/>
      <c r="N46" s="163"/>
      <c r="O46" s="162"/>
    </row>
    <row r="47" spans="2:15" ht="20.25" customHeight="1" x14ac:dyDescent="0.25">
      <c r="B47" s="152"/>
      <c r="C47" s="153">
        <v>39</v>
      </c>
      <c r="D47" s="154"/>
      <c r="E47" s="154"/>
      <c r="F47" s="154"/>
      <c r="G47" s="154"/>
      <c r="H47" s="165"/>
      <c r="I47" s="156"/>
      <c r="J47" s="157"/>
      <c r="K47" s="158"/>
      <c r="L47" s="159"/>
      <c r="M47" s="164"/>
      <c r="N47" s="163"/>
      <c r="O47" s="162"/>
    </row>
    <row r="48" spans="2:15" ht="20.25" customHeight="1" x14ac:dyDescent="0.25">
      <c r="B48" s="152"/>
      <c r="C48" s="153">
        <v>40</v>
      </c>
      <c r="D48" s="154"/>
      <c r="E48" s="154"/>
      <c r="F48" s="154"/>
      <c r="G48" s="154"/>
      <c r="H48" s="165"/>
      <c r="I48" s="156"/>
      <c r="J48" s="157"/>
      <c r="K48" s="158"/>
      <c r="L48" s="159"/>
      <c r="M48" s="164"/>
      <c r="N48" s="163"/>
      <c r="O48" s="162"/>
    </row>
    <row r="49" spans="2:15" ht="20.25" customHeight="1" x14ac:dyDescent="0.25">
      <c r="B49" s="152"/>
      <c r="C49" s="153">
        <v>41</v>
      </c>
      <c r="D49" s="154"/>
      <c r="E49" s="154"/>
      <c r="F49" s="154"/>
      <c r="G49" s="154"/>
      <c r="H49" s="165"/>
      <c r="I49" s="156"/>
      <c r="J49" s="157"/>
      <c r="K49" s="158"/>
      <c r="L49" s="159"/>
      <c r="M49" s="164"/>
      <c r="N49" s="163"/>
      <c r="O49" s="162"/>
    </row>
    <row r="50" spans="2:15" ht="20.25" customHeight="1" x14ac:dyDescent="0.25">
      <c r="B50" s="152"/>
      <c r="C50" s="153">
        <v>42</v>
      </c>
      <c r="D50" s="154"/>
      <c r="E50" s="154"/>
      <c r="F50" s="154"/>
      <c r="G50" s="154"/>
      <c r="H50" s="165"/>
      <c r="I50" s="156"/>
      <c r="J50" s="157"/>
      <c r="K50" s="158"/>
      <c r="L50" s="159"/>
      <c r="M50" s="164"/>
      <c r="N50" s="163"/>
      <c r="O50" s="162"/>
    </row>
    <row r="51" spans="2:15" ht="20.25" customHeight="1" x14ac:dyDescent="0.25">
      <c r="B51" s="152"/>
      <c r="C51" s="153">
        <v>43</v>
      </c>
      <c r="D51" s="154"/>
      <c r="E51" s="154"/>
      <c r="F51" s="154"/>
      <c r="G51" s="154"/>
      <c r="H51" s="165"/>
      <c r="I51" s="156"/>
      <c r="J51" s="157"/>
      <c r="K51" s="158"/>
      <c r="L51" s="159"/>
      <c r="M51" s="164"/>
      <c r="N51" s="163"/>
      <c r="O51" s="162"/>
    </row>
    <row r="52" spans="2:15" ht="20.25" customHeight="1" x14ac:dyDescent="0.25">
      <c r="B52" s="152"/>
      <c r="C52" s="153">
        <v>44</v>
      </c>
      <c r="D52" s="154"/>
      <c r="E52" s="154"/>
      <c r="F52" s="154"/>
      <c r="G52" s="154"/>
      <c r="H52" s="165"/>
      <c r="I52" s="156"/>
      <c r="J52" s="157"/>
      <c r="K52" s="158"/>
      <c r="L52" s="159"/>
      <c r="M52" s="164"/>
      <c r="N52" s="163"/>
      <c r="O52" s="162"/>
    </row>
    <row r="53" spans="2:15" ht="20.25" customHeight="1" x14ac:dyDescent="0.25">
      <c r="B53" s="152"/>
      <c r="C53" s="153">
        <v>45</v>
      </c>
      <c r="D53" s="154"/>
      <c r="E53" s="154"/>
      <c r="F53" s="154"/>
      <c r="G53" s="154"/>
      <c r="H53" s="165"/>
      <c r="I53" s="156"/>
      <c r="J53" s="157"/>
      <c r="K53" s="158"/>
      <c r="L53" s="159"/>
      <c r="M53" s="164"/>
      <c r="N53" s="163"/>
      <c r="O53" s="162"/>
    </row>
    <row r="54" spans="2:15" ht="20.25" customHeight="1" x14ac:dyDescent="0.25">
      <c r="B54" s="152"/>
      <c r="C54" s="153">
        <v>46</v>
      </c>
      <c r="D54" s="154"/>
      <c r="E54" s="154"/>
      <c r="F54" s="154"/>
      <c r="G54" s="154"/>
      <c r="H54" s="165"/>
      <c r="I54" s="156"/>
      <c r="J54" s="157"/>
      <c r="K54" s="158"/>
      <c r="L54" s="159"/>
      <c r="M54" s="164"/>
      <c r="N54" s="163"/>
      <c r="O54" s="162"/>
    </row>
    <row r="55" spans="2:15" ht="20.25" customHeight="1" x14ac:dyDescent="0.25">
      <c r="B55" s="152"/>
      <c r="C55" s="153">
        <v>47</v>
      </c>
      <c r="D55" s="154"/>
      <c r="E55" s="154"/>
      <c r="F55" s="154"/>
      <c r="G55" s="154"/>
      <c r="H55" s="165"/>
      <c r="I55" s="156"/>
      <c r="J55" s="157"/>
      <c r="K55" s="158"/>
      <c r="L55" s="159"/>
      <c r="M55" s="164"/>
      <c r="N55" s="163"/>
      <c r="O55" s="162"/>
    </row>
    <row r="56" spans="2:15" ht="20.25" customHeight="1" x14ac:dyDescent="0.25">
      <c r="B56" s="152"/>
      <c r="C56" s="153">
        <v>48</v>
      </c>
      <c r="D56" s="154"/>
      <c r="E56" s="154"/>
      <c r="F56" s="154"/>
      <c r="G56" s="154"/>
      <c r="H56" s="165"/>
      <c r="I56" s="156"/>
      <c r="J56" s="157"/>
      <c r="K56" s="158"/>
      <c r="L56" s="159"/>
      <c r="M56" s="164"/>
      <c r="N56" s="163"/>
      <c r="O56" s="162"/>
    </row>
    <row r="57" spans="2:15" ht="20.25" customHeight="1" x14ac:dyDescent="0.25">
      <c r="B57" s="152"/>
      <c r="C57" s="153">
        <v>49</v>
      </c>
      <c r="D57" s="154"/>
      <c r="E57" s="154"/>
      <c r="F57" s="154"/>
      <c r="G57" s="154"/>
      <c r="H57" s="165"/>
      <c r="I57" s="156"/>
      <c r="J57" s="157"/>
      <c r="K57" s="158"/>
      <c r="L57" s="159"/>
      <c r="M57" s="164"/>
      <c r="N57" s="163"/>
      <c r="O57" s="162"/>
    </row>
    <row r="58" spans="2:15" ht="20.25" customHeight="1" x14ac:dyDescent="0.25">
      <c r="B58" s="152"/>
      <c r="C58" s="153">
        <v>50</v>
      </c>
      <c r="D58" s="154"/>
      <c r="E58" s="154"/>
      <c r="F58" s="154"/>
      <c r="G58" s="154"/>
      <c r="H58" s="165"/>
      <c r="I58" s="156"/>
      <c r="J58" s="157"/>
      <c r="K58" s="158"/>
      <c r="L58" s="159"/>
      <c r="M58" s="164"/>
      <c r="N58" s="163"/>
      <c r="O58" s="162"/>
    </row>
    <row r="59" spans="2:15" ht="15" customHeight="1" x14ac:dyDescent="0.25">
      <c r="B59" s="152"/>
      <c r="C59" s="166"/>
      <c r="D59" s="124">
        <f>COUNTA(D9:D58)</f>
        <v>0</v>
      </c>
      <c r="E59" s="124">
        <f>COUNTA(E9:E58)</f>
        <v>0</v>
      </c>
      <c r="F59" s="124">
        <f>COUNTA(F9:F58)</f>
        <v>0</v>
      </c>
      <c r="G59" s="124">
        <f>COUNTA(G9:G58)</f>
        <v>0</v>
      </c>
      <c r="H59" s="124"/>
      <c r="I59" s="124"/>
      <c r="J59" s="124"/>
      <c r="K59" s="124"/>
      <c r="L59" s="167"/>
      <c r="M59" s="167"/>
      <c r="N59" s="168"/>
      <c r="O59" s="162"/>
    </row>
    <row r="60" spans="2:15" ht="15" customHeight="1" x14ac:dyDescent="0.25">
      <c r="B60" s="35"/>
      <c r="C60" s="419"/>
      <c r="D60" s="419"/>
      <c r="E60" s="419"/>
      <c r="F60" s="419"/>
      <c r="G60" s="169"/>
      <c r="H60" s="169"/>
      <c r="I60" s="419"/>
      <c r="J60" s="419"/>
      <c r="K60" s="419"/>
      <c r="L60" s="170"/>
      <c r="M60" s="170"/>
      <c r="N60" s="171"/>
      <c r="O60" s="38"/>
    </row>
  </sheetData>
  <mergeCells count="17">
    <mergeCell ref="C60:F60"/>
    <mergeCell ref="I60:K60"/>
    <mergeCell ref="N6:N8"/>
    <mergeCell ref="F7:F8"/>
    <mergeCell ref="G7:G8"/>
    <mergeCell ref="H7:I7"/>
    <mergeCell ref="J7:J8"/>
    <mergeCell ref="L7:L8"/>
    <mergeCell ref="M7:M8"/>
    <mergeCell ref="H3:M3"/>
    <mergeCell ref="C6:C8"/>
    <mergeCell ref="D6:D8"/>
    <mergeCell ref="E6:E8"/>
    <mergeCell ref="F6:G6"/>
    <mergeCell ref="H6:J6"/>
    <mergeCell ref="K6:K8"/>
    <mergeCell ref="L6:M6"/>
  </mergeCells>
  <dataValidations count="5">
    <dataValidation type="decimal" prompt="Enter the most likely financial impact if the risk ocurr (figures in mio US$)." sqref="H9:H58" xr:uid="{00000000-0002-0000-0700-000000000000}">
      <formula1>-100000</formula1>
      <formula2>100000</formula2>
    </dataValidation>
    <dataValidation type="date" allowBlank="1" prompt="Enter the due date for additional mitigations" sqref="M9:M58" xr:uid="{00000000-0002-0000-0700-000001000000}">
      <formula1>40909</formula1>
      <formula2>43831</formula2>
    </dataValidation>
    <dataValidation type="decimal" allowBlank="1" prompt="Enter the probability of this risk happening during the year (in %)." sqref="J9:J58" xr:uid="{00000000-0002-0000-0700-000002000000}">
      <formula1>0.000000001</formula1>
      <formula2>0.9999999999</formula2>
    </dataValidation>
    <dataValidation type="list" allowBlank="1" prompt="1: Increasing_x000a_2: Stable_x000a_3: Decreasing_x000a_4: Emergent (New Risk)" sqref="K9:K58" xr:uid="{00000000-0002-0000-0700-000003000000}">
      <formula1>"1,2,3,4"</formula1>
      <formula2>0</formula2>
    </dataValidation>
    <dataValidation type="list" allowBlank="1" prompt="1: Negligible_x000a_2: Minor_x000a_3: Moderate_x000a_4: Major: inform GMB/BofD_x000a_5: Critical: escalade to GMB/BofD" sqref="I9:I58" xr:uid="{00000000-0002-0000-0700-000004000000}">
      <formula1>"1,2,3,4,5"</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L60"/>
  <sheetViews>
    <sheetView zoomScaleNormal="100" workbookViewId="0"/>
  </sheetViews>
  <sheetFormatPr defaultColWidth="8.7109375" defaultRowHeight="15" x14ac:dyDescent="0.25"/>
  <cols>
    <col min="1" max="1" width="1.5703125" customWidth="1"/>
    <col min="3" max="3" width="5.85546875" customWidth="1"/>
    <col min="4" max="4" width="49.5703125" customWidth="1"/>
    <col min="5" max="5" width="13.28515625" customWidth="1"/>
    <col min="6" max="6" width="13.5703125" customWidth="1"/>
    <col min="12" max="12" width="13.7109375" customWidth="1"/>
    <col min="16" max="16" width="35.7109375" customWidth="1"/>
    <col min="17" max="17" width="16.7109375" customWidth="1"/>
    <col min="18" max="18" width="13.85546875" customWidth="1"/>
    <col min="19" max="19" width="1.5703125" customWidth="1"/>
    <col min="21" max="21" width="8" customWidth="1"/>
  </cols>
  <sheetData>
    <row r="2" spans="1:64" ht="12.75" customHeight="1" x14ac:dyDescent="0.25">
      <c r="A2" s="141"/>
      <c r="B2" s="7"/>
      <c r="C2" s="142"/>
      <c r="D2" s="8"/>
      <c r="E2" s="8"/>
      <c r="F2" s="8"/>
      <c r="G2" s="8"/>
      <c r="H2" s="8"/>
      <c r="I2" s="8"/>
      <c r="J2" s="8"/>
      <c r="K2" s="8"/>
      <c r="L2" s="8"/>
      <c r="M2" s="8"/>
      <c r="N2" s="8"/>
      <c r="O2" s="8"/>
      <c r="P2" s="8"/>
      <c r="Q2" s="8"/>
      <c r="R2" s="8"/>
      <c r="S2" s="9"/>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row>
    <row r="3" spans="1:64" ht="24" customHeight="1" x14ac:dyDescent="0.25">
      <c r="A3" s="141"/>
      <c r="B3" s="10"/>
      <c r="C3" s="143" t="str">
        <f>IF(SelectedBU="","",INDEX(ReportingUnits,SelectedBU,1))</f>
        <v>Company 3</v>
      </c>
      <c r="D3" s="144"/>
      <c r="E3" s="144"/>
      <c r="F3" s="144"/>
      <c r="G3" s="144"/>
      <c r="H3" s="144"/>
      <c r="I3" s="144"/>
      <c r="J3" s="87" t="str">
        <f>"Top 10 Risks that could occur within the "&amp;Parameters!E17</f>
        <v>Top 10 Risks that could occur within the next 3 - 5 years</v>
      </c>
      <c r="K3" s="172"/>
      <c r="L3" s="172"/>
      <c r="M3" s="172"/>
      <c r="N3" s="172"/>
      <c r="O3" s="172"/>
      <c r="P3" s="172"/>
      <c r="Q3" s="172"/>
      <c r="R3" s="172"/>
      <c r="S3" s="13"/>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4.5" customHeight="1" x14ac:dyDescent="0.25">
      <c r="A4" s="141"/>
      <c r="B4" s="10"/>
      <c r="C4" s="146"/>
      <c r="D4" s="15"/>
      <c r="E4" s="15"/>
      <c r="F4" s="15"/>
      <c r="G4" s="15"/>
      <c r="H4" s="15"/>
      <c r="I4" s="15"/>
      <c r="J4" s="15"/>
      <c r="K4" s="15"/>
      <c r="L4" s="15"/>
      <c r="M4" s="15"/>
      <c r="N4" s="15"/>
      <c r="O4" s="15"/>
      <c r="P4" s="15"/>
      <c r="Q4" s="15"/>
      <c r="R4" s="15"/>
      <c r="S4" s="13"/>
      <c r="T4" s="147"/>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row>
    <row r="5" spans="1:64" ht="4.5" customHeight="1" x14ac:dyDescent="0.25">
      <c r="A5" s="141"/>
      <c r="B5" s="10"/>
      <c r="C5" s="148"/>
      <c r="D5" s="11"/>
      <c r="E5" s="11"/>
      <c r="F5" s="11"/>
      <c r="G5" s="11"/>
      <c r="H5" s="11"/>
      <c r="I5" s="11"/>
      <c r="J5" s="11"/>
      <c r="K5" s="11"/>
      <c r="L5" s="11"/>
      <c r="M5" s="11"/>
      <c r="N5" s="11"/>
      <c r="O5" s="11"/>
      <c r="P5" s="11"/>
      <c r="Q5" s="11"/>
      <c r="R5" s="11"/>
      <c r="S5" s="13"/>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row>
    <row r="6" spans="1:64" ht="24" customHeight="1" x14ac:dyDescent="0.25">
      <c r="A6" s="141"/>
      <c r="B6" s="10"/>
      <c r="C6" s="415" t="s">
        <v>480</v>
      </c>
      <c r="D6" s="415" t="s">
        <v>468</v>
      </c>
      <c r="E6" s="415" t="s">
        <v>481</v>
      </c>
      <c r="F6" s="416" t="s">
        <v>482</v>
      </c>
      <c r="G6" s="416"/>
      <c r="H6" s="416" t="s">
        <v>483</v>
      </c>
      <c r="I6" s="416"/>
      <c r="J6" s="416" t="s">
        <v>484</v>
      </c>
      <c r="K6" s="416"/>
      <c r="L6" s="417" t="s">
        <v>485</v>
      </c>
      <c r="M6" s="417"/>
      <c r="N6" s="417"/>
      <c r="O6" s="415" t="s">
        <v>486</v>
      </c>
      <c r="P6" s="415" t="s">
        <v>487</v>
      </c>
      <c r="Q6" s="416" t="s">
        <v>488</v>
      </c>
      <c r="R6" s="416"/>
      <c r="S6" s="13"/>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row>
    <row r="7" spans="1:64" ht="15" customHeight="1" x14ac:dyDescent="0.25">
      <c r="A7" s="141"/>
      <c r="B7" s="10"/>
      <c r="C7" s="415"/>
      <c r="D7" s="415"/>
      <c r="E7" s="415"/>
      <c r="F7" s="418" t="s">
        <v>474</v>
      </c>
      <c r="G7" s="418" t="s">
        <v>475</v>
      </c>
      <c r="H7" s="418" t="s">
        <v>474</v>
      </c>
      <c r="I7" s="418" t="s">
        <v>475</v>
      </c>
      <c r="J7" s="418" t="s">
        <v>474</v>
      </c>
      <c r="K7" s="418" t="s">
        <v>475</v>
      </c>
      <c r="L7" s="421" t="s">
        <v>489</v>
      </c>
      <c r="M7" s="422" t="s">
        <v>490</v>
      </c>
      <c r="N7" s="422" t="s">
        <v>491</v>
      </c>
      <c r="O7" s="415"/>
      <c r="P7" s="415"/>
      <c r="Q7" s="418" t="s">
        <v>492</v>
      </c>
      <c r="R7" s="418" t="s">
        <v>493</v>
      </c>
      <c r="S7" s="13"/>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row>
    <row r="8" spans="1:64" ht="15" customHeight="1" x14ac:dyDescent="0.25">
      <c r="A8" s="141"/>
      <c r="B8" s="10"/>
      <c r="C8" s="415"/>
      <c r="D8" s="415"/>
      <c r="E8" s="415"/>
      <c r="F8" s="415"/>
      <c r="G8" s="415"/>
      <c r="H8" s="415"/>
      <c r="I8" s="415"/>
      <c r="J8" s="415"/>
      <c r="K8" s="415"/>
      <c r="L8" s="421"/>
      <c r="M8" s="422"/>
      <c r="N8" s="422"/>
      <c r="O8" s="415"/>
      <c r="P8" s="415"/>
      <c r="Q8" s="415"/>
      <c r="R8" s="415"/>
      <c r="S8" s="13"/>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row>
    <row r="9" spans="1:64" ht="60" customHeight="1" x14ac:dyDescent="0.25">
      <c r="A9" s="151"/>
      <c r="B9" s="152"/>
      <c r="C9" s="153">
        <f t="shared" ref="C9:D28" ca="1" si="0">INDIRECT(ADDRESS(ROW(),COLUMN(),1,1,"Top 10 Risks"))</f>
        <v>1</v>
      </c>
      <c r="D9" s="154">
        <f t="shared" ca="1" si="0"/>
        <v>0</v>
      </c>
      <c r="E9" s="173"/>
      <c r="F9" s="174"/>
      <c r="G9" s="174"/>
      <c r="H9" s="174"/>
      <c r="I9" s="174"/>
      <c r="J9" s="154"/>
      <c r="K9" s="154"/>
      <c r="L9" s="165"/>
      <c r="M9" s="165">
        <f t="shared" ref="M9:M40" ca="1" si="1">INDIRECT(ADDRESS(ROW(),8,1,1,"Top 10 Risks"))</f>
        <v>0</v>
      </c>
      <c r="N9" s="165"/>
      <c r="O9" s="165"/>
      <c r="P9" s="165"/>
      <c r="Q9" s="157"/>
      <c r="R9" s="165"/>
      <c r="S9" s="162"/>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row>
    <row r="10" spans="1:64" ht="60" customHeight="1" x14ac:dyDescent="0.25">
      <c r="A10" s="151"/>
      <c r="B10" s="152"/>
      <c r="C10" s="153">
        <f t="shared" ca="1" si="0"/>
        <v>2</v>
      </c>
      <c r="D10" s="154">
        <f t="shared" ca="1" si="0"/>
        <v>0</v>
      </c>
      <c r="E10" s="173"/>
      <c r="F10" s="174"/>
      <c r="G10" s="174"/>
      <c r="H10" s="174"/>
      <c r="I10" s="174"/>
      <c r="J10" s="154"/>
      <c r="K10" s="154"/>
      <c r="L10" s="165"/>
      <c r="M10" s="165">
        <f t="shared" ca="1" si="1"/>
        <v>0</v>
      </c>
      <c r="N10" s="165"/>
      <c r="O10" s="175"/>
      <c r="P10" s="176"/>
      <c r="Q10" s="157"/>
      <c r="R10" s="165"/>
      <c r="S10" s="162"/>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row>
    <row r="11" spans="1:64" ht="60" customHeight="1" x14ac:dyDescent="0.25">
      <c r="A11" s="151"/>
      <c r="B11" s="152"/>
      <c r="C11" s="153">
        <f t="shared" ca="1" si="0"/>
        <v>3</v>
      </c>
      <c r="D11" s="154">
        <f t="shared" ca="1" si="0"/>
        <v>0</v>
      </c>
      <c r="E11" s="173"/>
      <c r="F11" s="174"/>
      <c r="G11" s="174"/>
      <c r="H11" s="174"/>
      <c r="I11" s="174"/>
      <c r="J11" s="154"/>
      <c r="K11" s="154"/>
      <c r="L11" s="165"/>
      <c r="M11" s="165">
        <f t="shared" ca="1" si="1"/>
        <v>0</v>
      </c>
      <c r="N11" s="165"/>
      <c r="O11" s="175"/>
      <c r="P11" s="176"/>
      <c r="Q11" s="157"/>
      <c r="R11" s="165"/>
      <c r="S11" s="162"/>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row>
    <row r="12" spans="1:64" ht="60" customHeight="1" x14ac:dyDescent="0.25">
      <c r="A12" s="151"/>
      <c r="B12" s="152"/>
      <c r="C12" s="153">
        <f t="shared" ca="1" si="0"/>
        <v>4</v>
      </c>
      <c r="D12" s="154">
        <f t="shared" ca="1" si="0"/>
        <v>0</v>
      </c>
      <c r="E12" s="173"/>
      <c r="F12" s="174"/>
      <c r="G12" s="174"/>
      <c r="H12" s="174"/>
      <c r="I12" s="174"/>
      <c r="J12" s="154"/>
      <c r="K12" s="154"/>
      <c r="L12" s="165"/>
      <c r="M12" s="165">
        <f t="shared" ca="1" si="1"/>
        <v>0</v>
      </c>
      <c r="N12" s="165"/>
      <c r="O12" s="175"/>
      <c r="P12" s="176"/>
      <c r="Q12" s="157"/>
      <c r="R12" s="165"/>
      <c r="S12" s="162"/>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row>
    <row r="13" spans="1:64" ht="60" customHeight="1" x14ac:dyDescent="0.25">
      <c r="A13" s="151"/>
      <c r="B13" s="152"/>
      <c r="C13" s="153">
        <f t="shared" ca="1" si="0"/>
        <v>5</v>
      </c>
      <c r="D13" s="154">
        <f t="shared" ca="1" si="0"/>
        <v>0</v>
      </c>
      <c r="E13" s="173"/>
      <c r="F13" s="174"/>
      <c r="G13" s="174"/>
      <c r="H13" s="174"/>
      <c r="I13" s="174"/>
      <c r="J13" s="154"/>
      <c r="K13" s="154"/>
      <c r="L13" s="165"/>
      <c r="M13" s="165">
        <f t="shared" ca="1" si="1"/>
        <v>0</v>
      </c>
      <c r="N13" s="165"/>
      <c r="O13" s="175"/>
      <c r="P13" s="176"/>
      <c r="Q13" s="157"/>
      <c r="R13" s="165"/>
      <c r="S13" s="162"/>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row>
    <row r="14" spans="1:64" ht="60" customHeight="1" x14ac:dyDescent="0.25">
      <c r="A14" s="151"/>
      <c r="B14" s="152"/>
      <c r="C14" s="153">
        <f t="shared" ca="1" si="0"/>
        <v>6</v>
      </c>
      <c r="D14" s="154">
        <f t="shared" ca="1" si="0"/>
        <v>0</v>
      </c>
      <c r="E14" s="173"/>
      <c r="F14" s="174"/>
      <c r="G14" s="174"/>
      <c r="H14" s="174"/>
      <c r="I14" s="174"/>
      <c r="J14" s="154"/>
      <c r="K14" s="154"/>
      <c r="L14" s="165"/>
      <c r="M14" s="165">
        <f t="shared" ca="1" si="1"/>
        <v>0</v>
      </c>
      <c r="N14" s="165"/>
      <c r="O14" s="175"/>
      <c r="P14" s="176"/>
      <c r="Q14" s="157"/>
      <c r="R14" s="165"/>
      <c r="S14" s="162"/>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1"/>
      <c r="BH14" s="151"/>
      <c r="BI14" s="151"/>
      <c r="BJ14" s="151"/>
      <c r="BK14" s="151"/>
      <c r="BL14" s="151"/>
    </row>
    <row r="15" spans="1:64" ht="60" customHeight="1" x14ac:dyDescent="0.25">
      <c r="A15" s="151"/>
      <c r="B15" s="152"/>
      <c r="C15" s="153">
        <f t="shared" ca="1" si="0"/>
        <v>7</v>
      </c>
      <c r="D15" s="154">
        <f t="shared" ca="1" si="0"/>
        <v>0</v>
      </c>
      <c r="E15" s="173"/>
      <c r="F15" s="174"/>
      <c r="G15" s="174"/>
      <c r="H15" s="174"/>
      <c r="I15" s="174"/>
      <c r="J15" s="154"/>
      <c r="K15" s="154"/>
      <c r="L15" s="165"/>
      <c r="M15" s="165">
        <f t="shared" ca="1" si="1"/>
        <v>0</v>
      </c>
      <c r="N15" s="165"/>
      <c r="O15" s="175"/>
      <c r="P15" s="176"/>
      <c r="Q15" s="157"/>
      <c r="R15" s="165"/>
      <c r="S15" s="162"/>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BK15" s="151"/>
      <c r="BL15" s="151"/>
    </row>
    <row r="16" spans="1:64" ht="60" customHeight="1" x14ac:dyDescent="0.25">
      <c r="A16" s="151"/>
      <c r="B16" s="152"/>
      <c r="C16" s="153">
        <f t="shared" ca="1" si="0"/>
        <v>8</v>
      </c>
      <c r="D16" s="154">
        <f t="shared" ca="1" si="0"/>
        <v>0</v>
      </c>
      <c r="E16" s="173"/>
      <c r="F16" s="174"/>
      <c r="G16" s="174"/>
      <c r="H16" s="174"/>
      <c r="I16" s="174"/>
      <c r="J16" s="154"/>
      <c r="K16" s="154"/>
      <c r="L16" s="165"/>
      <c r="M16" s="165">
        <f t="shared" ca="1" si="1"/>
        <v>0</v>
      </c>
      <c r="N16" s="165"/>
      <c r="O16" s="175"/>
      <c r="P16" s="176"/>
      <c r="Q16" s="157"/>
      <c r="R16" s="165"/>
      <c r="S16" s="162"/>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151"/>
      <c r="BH16" s="151"/>
      <c r="BI16" s="151"/>
      <c r="BJ16" s="151"/>
      <c r="BK16" s="151"/>
      <c r="BL16" s="151"/>
    </row>
    <row r="17" spans="2:19" ht="60" customHeight="1" x14ac:dyDescent="0.25">
      <c r="B17" s="152"/>
      <c r="C17" s="153">
        <f t="shared" ca="1" si="0"/>
        <v>9</v>
      </c>
      <c r="D17" s="154">
        <f t="shared" ca="1" si="0"/>
        <v>0</v>
      </c>
      <c r="E17" s="173"/>
      <c r="F17" s="174"/>
      <c r="G17" s="174"/>
      <c r="H17" s="174"/>
      <c r="I17" s="174"/>
      <c r="J17" s="154"/>
      <c r="K17" s="154"/>
      <c r="L17" s="165"/>
      <c r="M17" s="165">
        <f t="shared" ca="1" si="1"/>
        <v>0</v>
      </c>
      <c r="N17" s="165"/>
      <c r="O17" s="175"/>
      <c r="P17" s="176"/>
      <c r="Q17" s="157"/>
      <c r="R17" s="165"/>
      <c r="S17" s="162"/>
    </row>
    <row r="18" spans="2:19" ht="60" customHeight="1" x14ac:dyDescent="0.25">
      <c r="B18" s="152"/>
      <c r="C18" s="153">
        <f t="shared" ca="1" si="0"/>
        <v>10</v>
      </c>
      <c r="D18" s="154">
        <f t="shared" ca="1" si="0"/>
        <v>0</v>
      </c>
      <c r="E18" s="173"/>
      <c r="F18" s="174"/>
      <c r="G18" s="174"/>
      <c r="H18" s="174"/>
      <c r="I18" s="174"/>
      <c r="J18" s="154"/>
      <c r="K18" s="154"/>
      <c r="L18" s="165"/>
      <c r="M18" s="165">
        <f t="shared" ca="1" si="1"/>
        <v>0</v>
      </c>
      <c r="N18" s="165"/>
      <c r="O18" s="175"/>
      <c r="P18" s="176"/>
      <c r="Q18" s="157"/>
      <c r="R18" s="165"/>
      <c r="S18" s="162"/>
    </row>
    <row r="19" spans="2:19" ht="49.5" customHeight="1" x14ac:dyDescent="0.25">
      <c r="B19" s="152"/>
      <c r="C19" s="153">
        <f t="shared" ca="1" si="0"/>
        <v>11</v>
      </c>
      <c r="D19" s="154">
        <f t="shared" ca="1" si="0"/>
        <v>0</v>
      </c>
      <c r="E19" s="173"/>
      <c r="F19" s="174"/>
      <c r="G19" s="174"/>
      <c r="H19" s="174"/>
      <c r="I19" s="174"/>
      <c r="J19" s="154"/>
      <c r="K19" s="154"/>
      <c r="L19" s="165"/>
      <c r="M19" s="165">
        <f t="shared" ca="1" si="1"/>
        <v>0</v>
      </c>
      <c r="N19" s="165"/>
      <c r="O19" s="175"/>
      <c r="P19" s="176"/>
      <c r="Q19" s="157"/>
      <c r="R19" s="165"/>
      <c r="S19" s="162"/>
    </row>
    <row r="20" spans="2:19" ht="49.5" customHeight="1" x14ac:dyDescent="0.25">
      <c r="B20" s="152"/>
      <c r="C20" s="153">
        <f t="shared" ca="1" si="0"/>
        <v>12</v>
      </c>
      <c r="D20" s="154">
        <f t="shared" ca="1" si="0"/>
        <v>0</v>
      </c>
      <c r="E20" s="173"/>
      <c r="F20" s="174"/>
      <c r="G20" s="174"/>
      <c r="H20" s="174"/>
      <c r="I20" s="174"/>
      <c r="J20" s="154"/>
      <c r="K20" s="154"/>
      <c r="L20" s="165"/>
      <c r="M20" s="165">
        <f t="shared" ca="1" si="1"/>
        <v>0</v>
      </c>
      <c r="N20" s="165"/>
      <c r="O20" s="175"/>
      <c r="P20" s="176"/>
      <c r="Q20" s="157"/>
      <c r="R20" s="165"/>
      <c r="S20" s="162"/>
    </row>
    <row r="21" spans="2:19" ht="49.5" customHeight="1" x14ac:dyDescent="0.25">
      <c r="B21" s="152"/>
      <c r="C21" s="153">
        <f t="shared" ca="1" si="0"/>
        <v>13</v>
      </c>
      <c r="D21" s="154">
        <f t="shared" ca="1" si="0"/>
        <v>0</v>
      </c>
      <c r="E21" s="173"/>
      <c r="F21" s="174"/>
      <c r="G21" s="174"/>
      <c r="H21" s="174"/>
      <c r="I21" s="174"/>
      <c r="J21" s="154"/>
      <c r="K21" s="154"/>
      <c r="L21" s="165"/>
      <c r="M21" s="165">
        <f t="shared" ca="1" si="1"/>
        <v>0</v>
      </c>
      <c r="N21" s="165"/>
      <c r="O21" s="175"/>
      <c r="P21" s="176"/>
      <c r="Q21" s="157"/>
      <c r="R21" s="165"/>
      <c r="S21" s="162"/>
    </row>
    <row r="22" spans="2:19" ht="49.5" customHeight="1" x14ac:dyDescent="0.25">
      <c r="B22" s="152"/>
      <c r="C22" s="153">
        <f t="shared" ca="1" si="0"/>
        <v>14</v>
      </c>
      <c r="D22" s="154">
        <f t="shared" ca="1" si="0"/>
        <v>0</v>
      </c>
      <c r="E22" s="173"/>
      <c r="F22" s="174"/>
      <c r="G22" s="174"/>
      <c r="H22" s="174"/>
      <c r="I22" s="174"/>
      <c r="J22" s="154"/>
      <c r="K22" s="154"/>
      <c r="L22" s="165"/>
      <c r="M22" s="165">
        <f t="shared" ca="1" si="1"/>
        <v>0</v>
      </c>
      <c r="N22" s="165"/>
      <c r="O22" s="175"/>
      <c r="P22" s="176"/>
      <c r="Q22" s="157"/>
      <c r="R22" s="165"/>
      <c r="S22" s="162"/>
    </row>
    <row r="23" spans="2:19" ht="49.5" customHeight="1" x14ac:dyDescent="0.25">
      <c r="B23" s="152"/>
      <c r="C23" s="153">
        <f t="shared" ca="1" si="0"/>
        <v>15</v>
      </c>
      <c r="D23" s="154">
        <f t="shared" ca="1" si="0"/>
        <v>0</v>
      </c>
      <c r="E23" s="173"/>
      <c r="F23" s="174"/>
      <c r="G23" s="174"/>
      <c r="H23" s="174"/>
      <c r="I23" s="174"/>
      <c r="J23" s="154"/>
      <c r="K23" s="154"/>
      <c r="L23" s="165"/>
      <c r="M23" s="165">
        <f t="shared" ca="1" si="1"/>
        <v>0</v>
      </c>
      <c r="N23" s="165"/>
      <c r="O23" s="175"/>
      <c r="P23" s="176"/>
      <c r="Q23" s="157"/>
      <c r="R23" s="165"/>
      <c r="S23" s="162"/>
    </row>
    <row r="24" spans="2:19" ht="49.5" customHeight="1" x14ac:dyDescent="0.25">
      <c r="B24" s="152"/>
      <c r="C24" s="153">
        <f t="shared" ca="1" si="0"/>
        <v>16</v>
      </c>
      <c r="D24" s="154">
        <f t="shared" ca="1" si="0"/>
        <v>0</v>
      </c>
      <c r="E24" s="173"/>
      <c r="F24" s="174"/>
      <c r="G24" s="174"/>
      <c r="H24" s="174"/>
      <c r="I24" s="174"/>
      <c r="J24" s="154"/>
      <c r="K24" s="154"/>
      <c r="L24" s="165"/>
      <c r="M24" s="165">
        <f t="shared" ca="1" si="1"/>
        <v>0</v>
      </c>
      <c r="N24" s="165"/>
      <c r="O24" s="175"/>
      <c r="P24" s="176"/>
      <c r="Q24" s="157"/>
      <c r="R24" s="165"/>
      <c r="S24" s="162"/>
    </row>
    <row r="25" spans="2:19" ht="49.5" customHeight="1" x14ac:dyDescent="0.25">
      <c r="B25" s="152"/>
      <c r="C25" s="153">
        <f t="shared" ca="1" si="0"/>
        <v>17</v>
      </c>
      <c r="D25" s="154">
        <f t="shared" ca="1" si="0"/>
        <v>0</v>
      </c>
      <c r="E25" s="173"/>
      <c r="F25" s="174"/>
      <c r="G25" s="174"/>
      <c r="H25" s="174"/>
      <c r="I25" s="174"/>
      <c r="J25" s="154"/>
      <c r="K25" s="154"/>
      <c r="L25" s="165"/>
      <c r="M25" s="165">
        <f t="shared" ca="1" si="1"/>
        <v>0</v>
      </c>
      <c r="N25" s="165"/>
      <c r="O25" s="175"/>
      <c r="P25" s="176"/>
      <c r="Q25" s="157"/>
      <c r="R25" s="165"/>
      <c r="S25" s="162"/>
    </row>
    <row r="26" spans="2:19" ht="49.5" customHeight="1" x14ac:dyDescent="0.25">
      <c r="B26" s="152"/>
      <c r="C26" s="153">
        <f t="shared" ca="1" si="0"/>
        <v>18</v>
      </c>
      <c r="D26" s="154">
        <f t="shared" ca="1" si="0"/>
        <v>0</v>
      </c>
      <c r="E26" s="173"/>
      <c r="F26" s="174"/>
      <c r="G26" s="174"/>
      <c r="H26" s="174"/>
      <c r="I26" s="174"/>
      <c r="J26" s="154"/>
      <c r="K26" s="154"/>
      <c r="L26" s="165"/>
      <c r="M26" s="165">
        <f t="shared" ca="1" si="1"/>
        <v>0</v>
      </c>
      <c r="N26" s="165"/>
      <c r="O26" s="175"/>
      <c r="P26" s="176"/>
      <c r="Q26" s="157"/>
      <c r="R26" s="165"/>
      <c r="S26" s="162"/>
    </row>
    <row r="27" spans="2:19" ht="49.5" customHeight="1" x14ac:dyDescent="0.25">
      <c r="B27" s="152"/>
      <c r="C27" s="153">
        <f t="shared" ca="1" si="0"/>
        <v>19</v>
      </c>
      <c r="D27" s="154">
        <f t="shared" ca="1" si="0"/>
        <v>0</v>
      </c>
      <c r="E27" s="173"/>
      <c r="F27" s="174"/>
      <c r="G27" s="174"/>
      <c r="H27" s="174"/>
      <c r="I27" s="174"/>
      <c r="J27" s="154"/>
      <c r="K27" s="154"/>
      <c r="L27" s="165"/>
      <c r="M27" s="165">
        <f t="shared" ca="1" si="1"/>
        <v>0</v>
      </c>
      <c r="N27" s="177"/>
      <c r="O27" s="175"/>
      <c r="P27" s="176"/>
      <c r="Q27" s="157"/>
      <c r="R27" s="165"/>
      <c r="S27" s="162"/>
    </row>
    <row r="28" spans="2:19" ht="49.5" customHeight="1" x14ac:dyDescent="0.25">
      <c r="B28" s="152"/>
      <c r="C28" s="153">
        <f t="shared" ca="1" si="0"/>
        <v>20</v>
      </c>
      <c r="D28" s="154">
        <f t="shared" ca="1" si="0"/>
        <v>0</v>
      </c>
      <c r="E28" s="173"/>
      <c r="F28" s="174"/>
      <c r="G28" s="174"/>
      <c r="H28" s="174"/>
      <c r="I28" s="174"/>
      <c r="J28" s="154"/>
      <c r="K28" s="154"/>
      <c r="L28" s="165"/>
      <c r="M28" s="165">
        <f t="shared" ca="1" si="1"/>
        <v>0</v>
      </c>
      <c r="N28" s="177"/>
      <c r="O28" s="175"/>
      <c r="P28" s="176"/>
      <c r="Q28" s="157"/>
      <c r="R28" s="165"/>
      <c r="S28" s="162"/>
    </row>
    <row r="29" spans="2:19" ht="49.5" customHeight="1" x14ac:dyDescent="0.25">
      <c r="B29" s="152"/>
      <c r="C29" s="153">
        <f t="shared" ref="C29:D48" ca="1" si="2">INDIRECT(ADDRESS(ROW(),COLUMN(),1,1,"Top 10 Risks"))</f>
        <v>21</v>
      </c>
      <c r="D29" s="154">
        <f t="shared" ca="1" si="2"/>
        <v>0</v>
      </c>
      <c r="E29" s="173"/>
      <c r="F29" s="174"/>
      <c r="G29" s="174"/>
      <c r="H29" s="174"/>
      <c r="I29" s="174"/>
      <c r="J29" s="154"/>
      <c r="K29" s="154"/>
      <c r="L29" s="165"/>
      <c r="M29" s="165">
        <f t="shared" ca="1" si="1"/>
        <v>0</v>
      </c>
      <c r="N29" s="177"/>
      <c r="O29" s="175"/>
      <c r="P29" s="176"/>
      <c r="Q29" s="157"/>
      <c r="R29" s="165"/>
      <c r="S29" s="162"/>
    </row>
    <row r="30" spans="2:19" ht="49.5" customHeight="1" x14ac:dyDescent="0.25">
      <c r="B30" s="152"/>
      <c r="C30" s="153">
        <f t="shared" ca="1" si="2"/>
        <v>22</v>
      </c>
      <c r="D30" s="154">
        <f t="shared" ca="1" si="2"/>
        <v>0</v>
      </c>
      <c r="E30" s="173"/>
      <c r="F30" s="174"/>
      <c r="G30" s="174"/>
      <c r="H30" s="174"/>
      <c r="I30" s="174"/>
      <c r="J30" s="154"/>
      <c r="K30" s="154"/>
      <c r="L30" s="165"/>
      <c r="M30" s="165">
        <f t="shared" ca="1" si="1"/>
        <v>0</v>
      </c>
      <c r="N30" s="177"/>
      <c r="O30" s="175"/>
      <c r="P30" s="176"/>
      <c r="Q30" s="157"/>
      <c r="R30" s="165"/>
      <c r="S30" s="162"/>
    </row>
    <row r="31" spans="2:19" ht="49.5" customHeight="1" x14ac:dyDescent="0.25">
      <c r="B31" s="152"/>
      <c r="C31" s="153">
        <f t="shared" ca="1" si="2"/>
        <v>23</v>
      </c>
      <c r="D31" s="154">
        <f t="shared" ca="1" si="2"/>
        <v>0</v>
      </c>
      <c r="E31" s="173"/>
      <c r="F31" s="174"/>
      <c r="G31" s="174"/>
      <c r="H31" s="174"/>
      <c r="I31" s="174"/>
      <c r="J31" s="154"/>
      <c r="K31" s="154"/>
      <c r="L31" s="165"/>
      <c r="M31" s="165">
        <f t="shared" ca="1" si="1"/>
        <v>0</v>
      </c>
      <c r="N31" s="177"/>
      <c r="O31" s="175"/>
      <c r="P31" s="176"/>
      <c r="Q31" s="157"/>
      <c r="R31" s="165"/>
      <c r="S31" s="162"/>
    </row>
    <row r="32" spans="2:19" ht="49.5" customHeight="1" x14ac:dyDescent="0.25">
      <c r="B32" s="152"/>
      <c r="C32" s="153">
        <f t="shared" ca="1" si="2"/>
        <v>24</v>
      </c>
      <c r="D32" s="154">
        <f t="shared" ca="1" si="2"/>
        <v>0</v>
      </c>
      <c r="E32" s="173"/>
      <c r="F32" s="174"/>
      <c r="G32" s="174"/>
      <c r="H32" s="174"/>
      <c r="I32" s="174"/>
      <c r="J32" s="154"/>
      <c r="K32" s="154"/>
      <c r="L32" s="165"/>
      <c r="M32" s="165">
        <f t="shared" ca="1" si="1"/>
        <v>0</v>
      </c>
      <c r="N32" s="177"/>
      <c r="O32" s="175"/>
      <c r="P32" s="176"/>
      <c r="Q32" s="157"/>
      <c r="R32" s="165"/>
      <c r="S32" s="162"/>
    </row>
    <row r="33" spans="2:19" ht="49.5" customHeight="1" x14ac:dyDescent="0.25">
      <c r="B33" s="152"/>
      <c r="C33" s="153">
        <f t="shared" ca="1" si="2"/>
        <v>25</v>
      </c>
      <c r="D33" s="154">
        <f t="shared" ca="1" si="2"/>
        <v>0</v>
      </c>
      <c r="E33" s="173"/>
      <c r="F33" s="174"/>
      <c r="G33" s="174"/>
      <c r="H33" s="174"/>
      <c r="I33" s="174"/>
      <c r="J33" s="154"/>
      <c r="K33" s="154"/>
      <c r="L33" s="165"/>
      <c r="M33" s="165">
        <f t="shared" ca="1" si="1"/>
        <v>0</v>
      </c>
      <c r="N33" s="177"/>
      <c r="O33" s="175"/>
      <c r="P33" s="176"/>
      <c r="Q33" s="157"/>
      <c r="R33" s="165"/>
      <c r="S33" s="162"/>
    </row>
    <row r="34" spans="2:19" ht="49.5" customHeight="1" x14ac:dyDescent="0.25">
      <c r="B34" s="152"/>
      <c r="C34" s="153">
        <f t="shared" ca="1" si="2"/>
        <v>26</v>
      </c>
      <c r="D34" s="154">
        <f t="shared" ca="1" si="2"/>
        <v>0</v>
      </c>
      <c r="E34" s="173"/>
      <c r="F34" s="174"/>
      <c r="G34" s="174"/>
      <c r="H34" s="174"/>
      <c r="I34" s="174"/>
      <c r="J34" s="154"/>
      <c r="K34" s="154"/>
      <c r="L34" s="165"/>
      <c r="M34" s="165">
        <f t="shared" ca="1" si="1"/>
        <v>0</v>
      </c>
      <c r="N34" s="177"/>
      <c r="O34" s="175"/>
      <c r="P34" s="176"/>
      <c r="Q34" s="157"/>
      <c r="R34" s="165"/>
      <c r="S34" s="162"/>
    </row>
    <row r="35" spans="2:19" ht="49.5" customHeight="1" x14ac:dyDescent="0.25">
      <c r="B35" s="152"/>
      <c r="C35" s="153">
        <f t="shared" ca="1" si="2"/>
        <v>27</v>
      </c>
      <c r="D35" s="154">
        <f t="shared" ca="1" si="2"/>
        <v>0</v>
      </c>
      <c r="E35" s="173"/>
      <c r="F35" s="174"/>
      <c r="G35" s="174"/>
      <c r="H35" s="174"/>
      <c r="I35" s="174"/>
      <c r="J35" s="154"/>
      <c r="K35" s="154"/>
      <c r="L35" s="165"/>
      <c r="M35" s="165">
        <f t="shared" ca="1" si="1"/>
        <v>0</v>
      </c>
      <c r="N35" s="177"/>
      <c r="O35" s="175"/>
      <c r="P35" s="176"/>
      <c r="Q35" s="157"/>
      <c r="R35" s="165"/>
      <c r="S35" s="162"/>
    </row>
    <row r="36" spans="2:19" ht="49.5" customHeight="1" x14ac:dyDescent="0.25">
      <c r="B36" s="152"/>
      <c r="C36" s="153">
        <f t="shared" ca="1" si="2"/>
        <v>28</v>
      </c>
      <c r="D36" s="154">
        <f t="shared" ca="1" si="2"/>
        <v>0</v>
      </c>
      <c r="E36" s="173"/>
      <c r="F36" s="174"/>
      <c r="G36" s="174"/>
      <c r="H36" s="174"/>
      <c r="I36" s="174"/>
      <c r="J36" s="154"/>
      <c r="K36" s="154"/>
      <c r="L36" s="165"/>
      <c r="M36" s="165">
        <f t="shared" ca="1" si="1"/>
        <v>0</v>
      </c>
      <c r="N36" s="177"/>
      <c r="O36" s="175"/>
      <c r="P36" s="176"/>
      <c r="Q36" s="157"/>
      <c r="R36" s="165"/>
      <c r="S36" s="162"/>
    </row>
    <row r="37" spans="2:19" ht="49.5" customHeight="1" x14ac:dyDescent="0.25">
      <c r="B37" s="152"/>
      <c r="C37" s="153">
        <f t="shared" ca="1" si="2"/>
        <v>29</v>
      </c>
      <c r="D37" s="154">
        <f t="shared" ca="1" si="2"/>
        <v>0</v>
      </c>
      <c r="E37" s="173"/>
      <c r="F37" s="174"/>
      <c r="G37" s="174"/>
      <c r="H37" s="174"/>
      <c r="I37" s="174"/>
      <c r="J37" s="154"/>
      <c r="K37" s="154"/>
      <c r="L37" s="165"/>
      <c r="M37" s="165">
        <f t="shared" ca="1" si="1"/>
        <v>0</v>
      </c>
      <c r="N37" s="177"/>
      <c r="O37" s="175"/>
      <c r="P37" s="176"/>
      <c r="Q37" s="157"/>
      <c r="R37" s="165"/>
      <c r="S37" s="162"/>
    </row>
    <row r="38" spans="2:19" ht="49.5" customHeight="1" x14ac:dyDescent="0.25">
      <c r="B38" s="152"/>
      <c r="C38" s="153">
        <f t="shared" ca="1" si="2"/>
        <v>30</v>
      </c>
      <c r="D38" s="154">
        <f t="shared" ca="1" si="2"/>
        <v>0</v>
      </c>
      <c r="E38" s="173"/>
      <c r="F38" s="174"/>
      <c r="G38" s="174"/>
      <c r="H38" s="174"/>
      <c r="I38" s="174"/>
      <c r="J38" s="154"/>
      <c r="K38" s="154"/>
      <c r="L38" s="165"/>
      <c r="M38" s="165">
        <f t="shared" ca="1" si="1"/>
        <v>0</v>
      </c>
      <c r="N38" s="177"/>
      <c r="O38" s="175"/>
      <c r="P38" s="176"/>
      <c r="Q38" s="157"/>
      <c r="R38" s="165"/>
      <c r="S38" s="162"/>
    </row>
    <row r="39" spans="2:19" ht="49.5" customHeight="1" x14ac:dyDescent="0.25">
      <c r="B39" s="152"/>
      <c r="C39" s="153">
        <f t="shared" ca="1" si="2"/>
        <v>31</v>
      </c>
      <c r="D39" s="154">
        <f t="shared" ca="1" si="2"/>
        <v>0</v>
      </c>
      <c r="E39" s="173"/>
      <c r="F39" s="174"/>
      <c r="G39" s="174"/>
      <c r="H39" s="174"/>
      <c r="I39" s="174"/>
      <c r="J39" s="154"/>
      <c r="K39" s="154"/>
      <c r="L39" s="165"/>
      <c r="M39" s="165">
        <f t="shared" ca="1" si="1"/>
        <v>0</v>
      </c>
      <c r="N39" s="177"/>
      <c r="O39" s="175"/>
      <c r="P39" s="176"/>
      <c r="Q39" s="157"/>
      <c r="R39" s="165"/>
      <c r="S39" s="162"/>
    </row>
    <row r="40" spans="2:19" ht="49.5" customHeight="1" x14ac:dyDescent="0.25">
      <c r="B40" s="152"/>
      <c r="C40" s="153">
        <f t="shared" ca="1" si="2"/>
        <v>32</v>
      </c>
      <c r="D40" s="154">
        <f t="shared" ca="1" si="2"/>
        <v>0</v>
      </c>
      <c r="E40" s="173"/>
      <c r="F40" s="174"/>
      <c r="G40" s="174"/>
      <c r="H40" s="174"/>
      <c r="I40" s="174"/>
      <c r="J40" s="154"/>
      <c r="K40" s="154"/>
      <c r="L40" s="165"/>
      <c r="M40" s="165">
        <f t="shared" ca="1" si="1"/>
        <v>0</v>
      </c>
      <c r="N40" s="177"/>
      <c r="O40" s="175"/>
      <c r="P40" s="176"/>
      <c r="Q40" s="157"/>
      <c r="R40" s="165"/>
      <c r="S40" s="162"/>
    </row>
    <row r="41" spans="2:19" ht="49.5" customHeight="1" x14ac:dyDescent="0.25">
      <c r="B41" s="152"/>
      <c r="C41" s="153">
        <f t="shared" ca="1" si="2"/>
        <v>33</v>
      </c>
      <c r="D41" s="154">
        <f t="shared" ca="1" si="2"/>
        <v>0</v>
      </c>
      <c r="E41" s="173"/>
      <c r="F41" s="174"/>
      <c r="G41" s="174"/>
      <c r="H41" s="174"/>
      <c r="I41" s="174"/>
      <c r="J41" s="154"/>
      <c r="K41" s="154"/>
      <c r="L41" s="165"/>
      <c r="M41" s="165">
        <f t="shared" ref="M41:M58" ca="1" si="3">INDIRECT(ADDRESS(ROW(),8,1,1,"Top 10 Risks"))</f>
        <v>0</v>
      </c>
      <c r="N41" s="177"/>
      <c r="O41" s="175"/>
      <c r="P41" s="176"/>
      <c r="Q41" s="157"/>
      <c r="R41" s="165"/>
      <c r="S41" s="162"/>
    </row>
    <row r="42" spans="2:19" ht="49.5" customHeight="1" x14ac:dyDescent="0.25">
      <c r="B42" s="152"/>
      <c r="C42" s="153">
        <f t="shared" ca="1" si="2"/>
        <v>34</v>
      </c>
      <c r="D42" s="154">
        <f t="shared" ca="1" si="2"/>
        <v>0</v>
      </c>
      <c r="E42" s="173"/>
      <c r="F42" s="174"/>
      <c r="G42" s="174"/>
      <c r="H42" s="174"/>
      <c r="I42" s="174"/>
      <c r="J42" s="154"/>
      <c r="K42" s="154"/>
      <c r="L42" s="165"/>
      <c r="M42" s="165">
        <f t="shared" ca="1" si="3"/>
        <v>0</v>
      </c>
      <c r="N42" s="177"/>
      <c r="O42" s="175"/>
      <c r="P42" s="176"/>
      <c r="Q42" s="157"/>
      <c r="R42" s="165"/>
      <c r="S42" s="162"/>
    </row>
    <row r="43" spans="2:19" ht="49.5" customHeight="1" x14ac:dyDescent="0.25">
      <c r="B43" s="152"/>
      <c r="C43" s="153">
        <f t="shared" ca="1" si="2"/>
        <v>35</v>
      </c>
      <c r="D43" s="154">
        <f t="shared" ca="1" si="2"/>
        <v>0</v>
      </c>
      <c r="E43" s="173"/>
      <c r="F43" s="174"/>
      <c r="G43" s="174"/>
      <c r="H43" s="174"/>
      <c r="I43" s="174"/>
      <c r="J43" s="154"/>
      <c r="K43" s="154"/>
      <c r="L43" s="165"/>
      <c r="M43" s="165">
        <f t="shared" ca="1" si="3"/>
        <v>0</v>
      </c>
      <c r="N43" s="177"/>
      <c r="O43" s="175"/>
      <c r="P43" s="176"/>
      <c r="Q43" s="157"/>
      <c r="R43" s="165"/>
      <c r="S43" s="162"/>
    </row>
    <row r="44" spans="2:19" ht="49.5" customHeight="1" x14ac:dyDescent="0.25">
      <c r="B44" s="152"/>
      <c r="C44" s="153">
        <f t="shared" ca="1" si="2"/>
        <v>36</v>
      </c>
      <c r="D44" s="154">
        <f t="shared" ca="1" si="2"/>
        <v>0</v>
      </c>
      <c r="E44" s="173"/>
      <c r="F44" s="174"/>
      <c r="G44" s="174"/>
      <c r="H44" s="174"/>
      <c r="I44" s="174"/>
      <c r="J44" s="154"/>
      <c r="K44" s="154"/>
      <c r="L44" s="165"/>
      <c r="M44" s="165">
        <f t="shared" ca="1" si="3"/>
        <v>0</v>
      </c>
      <c r="N44" s="177"/>
      <c r="O44" s="175"/>
      <c r="P44" s="176"/>
      <c r="Q44" s="157"/>
      <c r="R44" s="165"/>
      <c r="S44" s="162"/>
    </row>
    <row r="45" spans="2:19" ht="49.5" customHeight="1" x14ac:dyDescent="0.25">
      <c r="B45" s="152"/>
      <c r="C45" s="153">
        <f t="shared" ca="1" si="2"/>
        <v>37</v>
      </c>
      <c r="D45" s="154">
        <f t="shared" ca="1" si="2"/>
        <v>0</v>
      </c>
      <c r="E45" s="173"/>
      <c r="F45" s="174"/>
      <c r="G45" s="174"/>
      <c r="H45" s="174"/>
      <c r="I45" s="174"/>
      <c r="J45" s="154"/>
      <c r="K45" s="154"/>
      <c r="L45" s="165"/>
      <c r="M45" s="165">
        <f t="shared" ca="1" si="3"/>
        <v>0</v>
      </c>
      <c r="N45" s="177"/>
      <c r="O45" s="175"/>
      <c r="P45" s="176"/>
      <c r="Q45" s="157"/>
      <c r="R45" s="165"/>
      <c r="S45" s="162"/>
    </row>
    <row r="46" spans="2:19" ht="49.5" customHeight="1" x14ac:dyDescent="0.25">
      <c r="B46" s="152"/>
      <c r="C46" s="153">
        <f t="shared" ca="1" si="2"/>
        <v>38</v>
      </c>
      <c r="D46" s="154">
        <f t="shared" ca="1" si="2"/>
        <v>0</v>
      </c>
      <c r="E46" s="173"/>
      <c r="F46" s="174"/>
      <c r="G46" s="174"/>
      <c r="H46" s="174"/>
      <c r="I46" s="174"/>
      <c r="J46" s="154"/>
      <c r="K46" s="154"/>
      <c r="L46" s="165"/>
      <c r="M46" s="165">
        <f t="shared" ca="1" si="3"/>
        <v>0</v>
      </c>
      <c r="N46" s="177"/>
      <c r="O46" s="175"/>
      <c r="P46" s="176"/>
      <c r="Q46" s="157"/>
      <c r="R46" s="165"/>
      <c r="S46" s="162"/>
    </row>
    <row r="47" spans="2:19" ht="49.5" customHeight="1" x14ac:dyDescent="0.25">
      <c r="B47" s="152"/>
      <c r="C47" s="153">
        <f t="shared" ca="1" si="2"/>
        <v>39</v>
      </c>
      <c r="D47" s="154">
        <f t="shared" ca="1" si="2"/>
        <v>0</v>
      </c>
      <c r="E47" s="173"/>
      <c r="F47" s="174"/>
      <c r="G47" s="174"/>
      <c r="H47" s="174"/>
      <c r="I47" s="174"/>
      <c r="J47" s="154"/>
      <c r="K47" s="154"/>
      <c r="L47" s="165"/>
      <c r="M47" s="165">
        <f t="shared" ca="1" si="3"/>
        <v>0</v>
      </c>
      <c r="N47" s="177"/>
      <c r="O47" s="175"/>
      <c r="P47" s="176"/>
      <c r="Q47" s="157"/>
      <c r="R47" s="165"/>
      <c r="S47" s="162"/>
    </row>
    <row r="48" spans="2:19" ht="49.5" customHeight="1" x14ac:dyDescent="0.25">
      <c r="B48" s="152"/>
      <c r="C48" s="153">
        <f t="shared" ca="1" si="2"/>
        <v>40</v>
      </c>
      <c r="D48" s="154">
        <f t="shared" ca="1" si="2"/>
        <v>0</v>
      </c>
      <c r="E48" s="173"/>
      <c r="F48" s="174"/>
      <c r="G48" s="174"/>
      <c r="H48" s="174"/>
      <c r="I48" s="174"/>
      <c r="J48" s="154"/>
      <c r="K48" s="154"/>
      <c r="L48" s="165"/>
      <c r="M48" s="165">
        <f t="shared" ca="1" si="3"/>
        <v>0</v>
      </c>
      <c r="N48" s="177"/>
      <c r="O48" s="175"/>
      <c r="P48" s="176"/>
      <c r="Q48" s="157"/>
      <c r="R48" s="165"/>
      <c r="S48" s="162"/>
    </row>
    <row r="49" spans="2:19" ht="49.5" customHeight="1" x14ac:dyDescent="0.25">
      <c r="B49" s="152"/>
      <c r="C49" s="153">
        <f t="shared" ref="C49:D58" ca="1" si="4">INDIRECT(ADDRESS(ROW(),COLUMN(),1,1,"Top 10 Risks"))</f>
        <v>41</v>
      </c>
      <c r="D49" s="154">
        <f t="shared" ca="1" si="4"/>
        <v>0</v>
      </c>
      <c r="E49" s="173"/>
      <c r="F49" s="174"/>
      <c r="G49" s="174"/>
      <c r="H49" s="174"/>
      <c r="I49" s="174"/>
      <c r="J49" s="154"/>
      <c r="K49" s="154"/>
      <c r="L49" s="165"/>
      <c r="M49" s="165">
        <f t="shared" ca="1" si="3"/>
        <v>0</v>
      </c>
      <c r="N49" s="177"/>
      <c r="O49" s="175"/>
      <c r="P49" s="176"/>
      <c r="Q49" s="157"/>
      <c r="R49" s="165"/>
      <c r="S49" s="162"/>
    </row>
    <row r="50" spans="2:19" ht="49.5" customHeight="1" x14ac:dyDescent="0.25">
      <c r="B50" s="152"/>
      <c r="C50" s="153">
        <f t="shared" ca="1" si="4"/>
        <v>42</v>
      </c>
      <c r="D50" s="154">
        <f t="shared" ca="1" si="4"/>
        <v>0</v>
      </c>
      <c r="E50" s="173"/>
      <c r="F50" s="174"/>
      <c r="G50" s="174"/>
      <c r="H50" s="174"/>
      <c r="I50" s="174"/>
      <c r="J50" s="154"/>
      <c r="K50" s="154"/>
      <c r="L50" s="165"/>
      <c r="M50" s="165">
        <f t="shared" ca="1" si="3"/>
        <v>0</v>
      </c>
      <c r="N50" s="177"/>
      <c r="O50" s="175"/>
      <c r="P50" s="176"/>
      <c r="Q50" s="157"/>
      <c r="R50" s="165"/>
      <c r="S50" s="162"/>
    </row>
    <row r="51" spans="2:19" ht="49.5" customHeight="1" x14ac:dyDescent="0.25">
      <c r="B51" s="152"/>
      <c r="C51" s="153">
        <f t="shared" ca="1" si="4"/>
        <v>43</v>
      </c>
      <c r="D51" s="154">
        <f t="shared" ca="1" si="4"/>
        <v>0</v>
      </c>
      <c r="E51" s="173"/>
      <c r="F51" s="174"/>
      <c r="G51" s="174"/>
      <c r="H51" s="174"/>
      <c r="I51" s="174"/>
      <c r="J51" s="154"/>
      <c r="K51" s="154"/>
      <c r="L51" s="165"/>
      <c r="M51" s="165">
        <f t="shared" ca="1" si="3"/>
        <v>0</v>
      </c>
      <c r="N51" s="177"/>
      <c r="O51" s="175"/>
      <c r="P51" s="176"/>
      <c r="Q51" s="157"/>
      <c r="R51" s="165"/>
      <c r="S51" s="162"/>
    </row>
    <row r="52" spans="2:19" ht="49.5" customHeight="1" x14ac:dyDescent="0.25">
      <c r="B52" s="152"/>
      <c r="C52" s="153">
        <f t="shared" ca="1" si="4"/>
        <v>44</v>
      </c>
      <c r="D52" s="154">
        <f t="shared" ca="1" si="4"/>
        <v>0</v>
      </c>
      <c r="E52" s="173"/>
      <c r="F52" s="174"/>
      <c r="G52" s="174"/>
      <c r="H52" s="174"/>
      <c r="I52" s="174"/>
      <c r="J52" s="154"/>
      <c r="K52" s="154"/>
      <c r="L52" s="165"/>
      <c r="M52" s="165">
        <f t="shared" ca="1" si="3"/>
        <v>0</v>
      </c>
      <c r="N52" s="177"/>
      <c r="O52" s="175"/>
      <c r="P52" s="176"/>
      <c r="Q52" s="157"/>
      <c r="R52" s="165"/>
      <c r="S52" s="162"/>
    </row>
    <row r="53" spans="2:19" ht="49.5" customHeight="1" x14ac:dyDescent="0.25">
      <c r="B53" s="152"/>
      <c r="C53" s="153">
        <f t="shared" ca="1" si="4"/>
        <v>45</v>
      </c>
      <c r="D53" s="154">
        <f t="shared" ca="1" si="4"/>
        <v>0</v>
      </c>
      <c r="E53" s="173"/>
      <c r="F53" s="174"/>
      <c r="G53" s="174"/>
      <c r="H53" s="174"/>
      <c r="I53" s="174"/>
      <c r="J53" s="154"/>
      <c r="K53" s="154"/>
      <c r="L53" s="165"/>
      <c r="M53" s="165">
        <f t="shared" ca="1" si="3"/>
        <v>0</v>
      </c>
      <c r="N53" s="177"/>
      <c r="O53" s="175"/>
      <c r="P53" s="176"/>
      <c r="Q53" s="157"/>
      <c r="R53" s="165"/>
      <c r="S53" s="162"/>
    </row>
    <row r="54" spans="2:19" ht="49.5" customHeight="1" x14ac:dyDescent="0.25">
      <c r="B54" s="152"/>
      <c r="C54" s="153">
        <f t="shared" ca="1" si="4"/>
        <v>46</v>
      </c>
      <c r="D54" s="154">
        <f t="shared" ca="1" si="4"/>
        <v>0</v>
      </c>
      <c r="E54" s="173"/>
      <c r="F54" s="174"/>
      <c r="G54" s="174"/>
      <c r="H54" s="174"/>
      <c r="I54" s="174"/>
      <c r="J54" s="154"/>
      <c r="K54" s="154"/>
      <c r="L54" s="165"/>
      <c r="M54" s="165">
        <f t="shared" ca="1" si="3"/>
        <v>0</v>
      </c>
      <c r="N54" s="177"/>
      <c r="O54" s="175"/>
      <c r="P54" s="176"/>
      <c r="Q54" s="157"/>
      <c r="R54" s="165"/>
      <c r="S54" s="162"/>
    </row>
    <row r="55" spans="2:19" ht="49.5" customHeight="1" x14ac:dyDescent="0.25">
      <c r="B55" s="152"/>
      <c r="C55" s="153">
        <f t="shared" ca="1" si="4"/>
        <v>47</v>
      </c>
      <c r="D55" s="154">
        <f t="shared" ca="1" si="4"/>
        <v>0</v>
      </c>
      <c r="E55" s="173"/>
      <c r="F55" s="174"/>
      <c r="G55" s="174"/>
      <c r="H55" s="174"/>
      <c r="I55" s="174"/>
      <c r="J55" s="154"/>
      <c r="K55" s="154"/>
      <c r="L55" s="165"/>
      <c r="M55" s="165">
        <f t="shared" ca="1" si="3"/>
        <v>0</v>
      </c>
      <c r="N55" s="177"/>
      <c r="O55" s="175"/>
      <c r="P55" s="176"/>
      <c r="Q55" s="157"/>
      <c r="R55" s="165"/>
      <c r="S55" s="162"/>
    </row>
    <row r="56" spans="2:19" ht="49.5" customHeight="1" x14ac:dyDescent="0.25">
      <c r="B56" s="152"/>
      <c r="C56" s="153">
        <f t="shared" ca="1" si="4"/>
        <v>48</v>
      </c>
      <c r="D56" s="154">
        <f t="shared" ca="1" si="4"/>
        <v>0</v>
      </c>
      <c r="E56" s="173"/>
      <c r="F56" s="174"/>
      <c r="G56" s="174"/>
      <c r="H56" s="174"/>
      <c r="I56" s="174"/>
      <c r="J56" s="154"/>
      <c r="K56" s="154"/>
      <c r="L56" s="165"/>
      <c r="M56" s="165">
        <f t="shared" ca="1" si="3"/>
        <v>0</v>
      </c>
      <c r="N56" s="177"/>
      <c r="O56" s="175"/>
      <c r="P56" s="176"/>
      <c r="Q56" s="157"/>
      <c r="R56" s="165"/>
      <c r="S56" s="162"/>
    </row>
    <row r="57" spans="2:19" ht="49.5" customHeight="1" x14ac:dyDescent="0.25">
      <c r="B57" s="152"/>
      <c r="C57" s="153">
        <f t="shared" ca="1" si="4"/>
        <v>49</v>
      </c>
      <c r="D57" s="154">
        <f t="shared" ca="1" si="4"/>
        <v>0</v>
      </c>
      <c r="E57" s="173"/>
      <c r="F57" s="174"/>
      <c r="G57" s="174"/>
      <c r="H57" s="174"/>
      <c r="I57" s="174"/>
      <c r="J57" s="154"/>
      <c r="K57" s="154"/>
      <c r="L57" s="165"/>
      <c r="M57" s="165">
        <f t="shared" ca="1" si="3"/>
        <v>0</v>
      </c>
      <c r="N57" s="177"/>
      <c r="O57" s="175"/>
      <c r="P57" s="176"/>
      <c r="Q57" s="157"/>
      <c r="R57" s="165"/>
      <c r="S57" s="162"/>
    </row>
    <row r="58" spans="2:19" ht="49.5" customHeight="1" x14ac:dyDescent="0.25">
      <c r="B58" s="152"/>
      <c r="C58" s="153">
        <f t="shared" ca="1" si="4"/>
        <v>50</v>
      </c>
      <c r="D58" s="154">
        <f t="shared" ca="1" si="4"/>
        <v>0</v>
      </c>
      <c r="E58" s="173"/>
      <c r="F58" s="174"/>
      <c r="G58" s="174"/>
      <c r="H58" s="174"/>
      <c r="I58" s="174"/>
      <c r="J58" s="154"/>
      <c r="K58" s="154"/>
      <c r="L58" s="165"/>
      <c r="M58" s="165">
        <f t="shared" ca="1" si="3"/>
        <v>0</v>
      </c>
      <c r="N58" s="177"/>
      <c r="O58" s="175"/>
      <c r="P58" s="176"/>
      <c r="Q58" s="157"/>
      <c r="R58" s="165"/>
      <c r="S58" s="162"/>
    </row>
    <row r="59" spans="2:19" ht="15" customHeight="1" x14ac:dyDescent="0.25">
      <c r="B59" s="152"/>
      <c r="C59" s="166"/>
      <c r="D59" s="124">
        <f ca="1">COUNTA(D9:D58)-COUNTIF(D9:D58,"")</f>
        <v>50</v>
      </c>
      <c r="E59" s="124">
        <f>COUNTA(E9:E58)</f>
        <v>0</v>
      </c>
      <c r="F59" s="124"/>
      <c r="G59" s="124"/>
      <c r="H59" s="124"/>
      <c r="I59" s="124"/>
      <c r="J59" s="124">
        <f>COUNTA(J9:J58)</f>
        <v>0</v>
      </c>
      <c r="K59" s="124">
        <f>COUNTA(K9:K58)</f>
        <v>0</v>
      </c>
      <c r="L59" s="124"/>
      <c r="M59" s="124"/>
      <c r="N59" s="124"/>
      <c r="O59" s="124"/>
      <c r="P59" s="124"/>
      <c r="Q59" s="124"/>
      <c r="R59" s="124"/>
      <c r="S59" s="162"/>
    </row>
    <row r="60" spans="2:19" ht="15" customHeight="1" x14ac:dyDescent="0.25">
      <c r="B60" s="35"/>
      <c r="C60" s="419"/>
      <c r="D60" s="419"/>
      <c r="E60" s="419"/>
      <c r="F60" s="419"/>
      <c r="G60" s="419"/>
      <c r="H60" s="419"/>
      <c r="I60" s="419"/>
      <c r="J60" s="419"/>
      <c r="K60" s="169"/>
      <c r="L60" s="169"/>
      <c r="M60" s="419"/>
      <c r="N60" s="419"/>
      <c r="O60" s="419"/>
      <c r="P60" s="419"/>
      <c r="Q60" s="419"/>
      <c r="R60" s="419"/>
      <c r="S60" s="38"/>
    </row>
  </sheetData>
  <mergeCells count="25">
    <mergeCell ref="C60:J60"/>
    <mergeCell ref="M60:N60"/>
    <mergeCell ref="O60:P60"/>
    <mergeCell ref="Q60:R60"/>
    <mergeCell ref="J6:K6"/>
    <mergeCell ref="L6:N6"/>
    <mergeCell ref="O6:O8"/>
    <mergeCell ref="P6:P8"/>
    <mergeCell ref="Q6:R6"/>
    <mergeCell ref="J7:J8"/>
    <mergeCell ref="K7:K8"/>
    <mergeCell ref="L7:L8"/>
    <mergeCell ref="M7:M8"/>
    <mergeCell ref="N7:N8"/>
    <mergeCell ref="Q7:Q8"/>
    <mergeCell ref="R7:R8"/>
    <mergeCell ref="C6:C8"/>
    <mergeCell ref="D6:D8"/>
    <mergeCell ref="E6:E8"/>
    <mergeCell ref="F6:G6"/>
    <mergeCell ref="H6:I6"/>
    <mergeCell ref="F7:F8"/>
    <mergeCell ref="G7:G8"/>
    <mergeCell ref="H7:H8"/>
    <mergeCell ref="I7:I8"/>
  </mergeCells>
  <dataValidations count="7">
    <dataValidation allowBlank="1" sqref="P9:P58 M10:M58" xr:uid="{00000000-0002-0000-0800-000000000000}">
      <formula1>0</formula1>
      <formula2>0</formula2>
    </dataValidation>
    <dataValidation allowBlank="1" prompt="Use this column only if you assess your risks based on the remaining months of the MRF,insted of estimating the impact on 12 months period." sqref="O9:O58" xr:uid="{00000000-0002-0000-0800-000001000000}">
      <formula1>0</formula1>
      <formula2>0</formula2>
    </dataValidation>
    <dataValidation type="decimal" operator="lessThanOrEqual" prompt="Enter the financial impact of the best case scenario if the risk ocurr (figures in mio US$). If in the best case the risk can be an opportunity you can enter a negative number" sqref="L9:L58" xr:uid="{00000000-0002-0000-0800-000002000000}">
      <formula1>M9</formula1>
      <formula2>0</formula2>
    </dataValidation>
    <dataValidation type="decimal" operator="greaterThanOrEqual" prompt="Enter the financial impact of the worst case scenario if the risk ocurr (figures in mio US$)." sqref="N9:N58" xr:uid="{00000000-0002-0000-0800-000003000000}">
      <formula1>M9</formula1>
      <formula2>0</formula2>
    </dataValidation>
    <dataValidation type="decimal" allowBlank="1" prompt="Enter the &lt;desired probability of this risk  (in %), after the implementation of future mitigation plans" sqref="Q9:Q58" xr:uid="{00000000-0002-0000-0800-000004000000}">
      <formula1>0.000000001</formula1>
      <formula2>0.9999999999</formula2>
    </dataValidation>
    <dataValidation type="decimal" operator="lessThanOrEqual" prompt="Enter the desired most credible impact (in mio$) after implementation of the future mitigation plans" sqref="R9:R58" xr:uid="{00000000-0002-0000-0800-000005000000}">
      <formula1>M9</formula1>
      <formula2>0</formula2>
    </dataValidation>
    <dataValidation type="list" allowBlank="1" prompt="1: Take (Rewarded Risk)_x000a_2: Retain (Can't be reduced)_x000a_3: Mitigate_x000a_4: Transfer_x000a_5: Avoid" sqref="E9:E58" xr:uid="{00000000-0002-0000-0800-000006000000}">
      <formula1>"1,2,3,4,5"</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8C00"/>
  </sheetPr>
  <dimension ref="A1:AB37"/>
  <sheetViews>
    <sheetView zoomScale="80" zoomScaleNormal="80" workbookViewId="0">
      <pane xSplit="2" ySplit="5" topLeftCell="C6" activePane="bottomRight" state="frozen"/>
      <selection pane="topRight" activeCell="C1" sqref="C1"/>
      <selection pane="bottomLeft" activeCell="A6" sqref="A6"/>
      <selection pane="bottomRight" activeCell="E6" sqref="E6"/>
    </sheetView>
  </sheetViews>
  <sheetFormatPr defaultColWidth="8.7109375" defaultRowHeight="15" x14ac:dyDescent="0.25"/>
  <cols>
    <col min="1" max="1" width="6" customWidth="1"/>
    <col min="2" max="2" width="22" customWidth="1"/>
    <col min="3" max="3" width="8" customWidth="1"/>
    <col min="4" max="4" width="7" customWidth="1"/>
    <col min="5" max="7" width="10" customWidth="1"/>
    <col min="8" max="8" width="9.140625" customWidth="1"/>
    <col min="9" max="9" width="9" customWidth="1"/>
    <col min="10" max="10" width="10" customWidth="1"/>
    <col min="11" max="11" width="10.42578125" customWidth="1"/>
    <col min="12" max="13" width="8" customWidth="1"/>
    <col min="14" max="14" width="9" customWidth="1"/>
    <col min="15" max="15" width="10" customWidth="1"/>
    <col min="16" max="16" width="10.85546875" customWidth="1"/>
    <col min="17" max="17" width="12.5703125" customWidth="1"/>
    <col min="18" max="19" width="9" customWidth="1"/>
    <col min="20" max="20" width="10" customWidth="1"/>
    <col min="21" max="21" width="9" customWidth="1"/>
    <col min="22" max="25" width="10" customWidth="1"/>
    <col min="26" max="26" width="8" customWidth="1"/>
    <col min="27" max="27" width="7" customWidth="1"/>
    <col min="28" max="28" width="25" customWidth="1"/>
  </cols>
  <sheetData>
    <row r="1" spans="1:28" ht="21.75" customHeight="1" x14ac:dyDescent="0.25">
      <c r="A1" s="385" t="s">
        <v>494</v>
      </c>
      <c r="B1" s="385"/>
      <c r="C1" s="385"/>
      <c r="D1" s="385"/>
      <c r="E1" s="385"/>
      <c r="F1" s="385"/>
      <c r="G1" s="385"/>
      <c r="H1" s="385"/>
      <c r="I1" s="385"/>
      <c r="J1" s="385"/>
      <c r="K1" s="385"/>
      <c r="L1" s="385"/>
      <c r="M1" s="385"/>
      <c r="N1" s="385"/>
      <c r="O1" s="385"/>
      <c r="P1" s="385"/>
      <c r="Q1" s="385"/>
      <c r="R1" s="385"/>
      <c r="S1" s="385"/>
      <c r="T1" s="385"/>
      <c r="U1" s="385"/>
      <c r="V1" s="385"/>
      <c r="W1" s="385"/>
      <c r="X1" s="385"/>
      <c r="Y1" s="385"/>
      <c r="Z1" s="385"/>
      <c r="AA1" s="385"/>
      <c r="AB1" s="385"/>
    </row>
    <row r="2" spans="1:28" ht="21.75" customHeight="1" x14ac:dyDescent="0.25">
      <c r="A2" s="386" t="s">
        <v>495</v>
      </c>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row>
    <row r="3" spans="1:28" ht="21.75" customHeight="1" x14ac:dyDescent="0.25">
      <c r="A3" s="387" t="s">
        <v>496</v>
      </c>
      <c r="B3" s="387"/>
      <c r="C3" s="387"/>
      <c r="D3" s="387" t="s">
        <v>497</v>
      </c>
      <c r="E3" s="387"/>
      <c r="F3" s="387"/>
      <c r="G3" s="387"/>
      <c r="H3" s="423" t="s">
        <v>498</v>
      </c>
      <c r="I3" s="423"/>
      <c r="J3" s="423"/>
      <c r="K3" s="387" t="s">
        <v>499</v>
      </c>
      <c r="L3" s="387"/>
      <c r="M3" s="387"/>
      <c r="N3" s="387"/>
      <c r="O3" s="387"/>
      <c r="P3" s="390" t="s">
        <v>500</v>
      </c>
      <c r="Q3" s="390"/>
      <c r="R3" s="389" t="s">
        <v>501</v>
      </c>
      <c r="S3" s="389"/>
      <c r="T3" s="389"/>
      <c r="U3" s="386" t="s">
        <v>502</v>
      </c>
      <c r="V3" s="386"/>
      <c r="W3" s="386"/>
      <c r="X3" s="386"/>
      <c r="Y3" s="387" t="s">
        <v>503</v>
      </c>
      <c r="Z3" s="387"/>
      <c r="AA3" s="387"/>
      <c r="AB3" s="387"/>
    </row>
    <row r="4" spans="1:28" ht="34.5" customHeight="1" x14ac:dyDescent="0.25">
      <c r="D4" s="178" t="s">
        <v>504</v>
      </c>
      <c r="E4" s="178" t="s">
        <v>140</v>
      </c>
      <c r="F4" s="178" t="s">
        <v>505</v>
      </c>
      <c r="G4" s="178" t="s">
        <v>506</v>
      </c>
      <c r="H4" s="178" t="s">
        <v>507</v>
      </c>
      <c r="I4" s="178" t="s">
        <v>508</v>
      </c>
      <c r="J4" s="178" t="s">
        <v>509</v>
      </c>
      <c r="K4" s="178" t="s">
        <v>510</v>
      </c>
      <c r="L4" s="178" t="s">
        <v>504</v>
      </c>
      <c r="M4" s="178" t="s">
        <v>504</v>
      </c>
      <c r="N4" s="178" t="s">
        <v>511</v>
      </c>
      <c r="O4" s="178" t="s">
        <v>512</v>
      </c>
      <c r="P4" s="178" t="s">
        <v>513</v>
      </c>
      <c r="Q4" s="178" t="s">
        <v>514</v>
      </c>
      <c r="R4" s="178" t="s">
        <v>515</v>
      </c>
      <c r="S4" s="178" t="s">
        <v>516</v>
      </c>
      <c r="T4" s="178" t="s">
        <v>517</v>
      </c>
      <c r="U4" s="178" t="s">
        <v>518</v>
      </c>
      <c r="V4" s="178" t="s">
        <v>519</v>
      </c>
      <c r="W4" s="178" t="s">
        <v>520</v>
      </c>
      <c r="X4" s="178" t="s">
        <v>521</v>
      </c>
      <c r="Y4" s="178" t="s">
        <v>522</v>
      </c>
      <c r="Z4" s="178" t="s">
        <v>140</v>
      </c>
      <c r="AA4" s="178" t="s">
        <v>140</v>
      </c>
    </row>
    <row r="5" spans="1:28" ht="30" customHeight="1" x14ac:dyDescent="0.25">
      <c r="A5" s="52" t="s">
        <v>523</v>
      </c>
      <c r="B5" s="52" t="s">
        <v>524</v>
      </c>
      <c r="C5" s="52" t="s">
        <v>87</v>
      </c>
      <c r="D5" s="52" t="s">
        <v>525</v>
      </c>
      <c r="E5" s="52" t="s">
        <v>526</v>
      </c>
      <c r="F5" s="52" t="s">
        <v>527</v>
      </c>
      <c r="G5" s="52" t="s">
        <v>528</v>
      </c>
      <c r="H5" s="52" t="s">
        <v>529</v>
      </c>
      <c r="I5" s="52" t="s">
        <v>530</v>
      </c>
      <c r="J5" s="52" t="s">
        <v>531</v>
      </c>
      <c r="K5" s="52" t="s">
        <v>532</v>
      </c>
      <c r="L5" s="52" t="s">
        <v>533</v>
      </c>
      <c r="M5" s="52" t="s">
        <v>534</v>
      </c>
      <c r="N5" s="52" t="s">
        <v>55</v>
      </c>
      <c r="O5" s="52" t="s">
        <v>535</v>
      </c>
      <c r="P5" s="52" t="s">
        <v>536</v>
      </c>
      <c r="Q5" s="52" t="s">
        <v>537</v>
      </c>
      <c r="R5" s="52" t="s">
        <v>538</v>
      </c>
      <c r="S5" s="52" t="s">
        <v>539</v>
      </c>
      <c r="T5" s="52" t="s">
        <v>540</v>
      </c>
      <c r="U5" s="52" t="s">
        <v>541</v>
      </c>
      <c r="V5" s="52" t="s">
        <v>542</v>
      </c>
      <c r="W5" s="52" t="s">
        <v>543</v>
      </c>
      <c r="X5" s="52" t="s">
        <v>544</v>
      </c>
      <c r="Y5" s="52" t="s">
        <v>326</v>
      </c>
      <c r="Z5" s="52" t="s">
        <v>545</v>
      </c>
      <c r="AA5" s="52" t="s">
        <v>546</v>
      </c>
      <c r="AB5" s="52" t="s">
        <v>136</v>
      </c>
    </row>
    <row r="6" spans="1:28" ht="19.5" customHeight="1" x14ac:dyDescent="0.25">
      <c r="A6" s="179" t="str">
        <f>IF('Top 10 Risks'!D9="","",'Top 10 Risks'!C9)</f>
        <v/>
      </c>
      <c r="B6" s="180" t="str">
        <f>IF('Top 10 Risks'!D9="","",'Top 10 Risks'!D9)</f>
        <v/>
      </c>
      <c r="C6" s="181" t="s">
        <v>93</v>
      </c>
      <c r="D6" s="182" t="str">
        <f>IF('Top 10 Risks'!D9="","",IF('Top 10 Risks'!J9=1,0.05,IF('Top 10 Risks'!J9=2,0.2,IF('Top 10 Risks'!J9=3,0.4,IF('Top 10 Risks'!J9=4,0.7,IF('Top 10 Risks'!J9=5,0.95,""))))))</f>
        <v/>
      </c>
      <c r="E6" s="183" t="str">
        <f>IF('Top 10 Risks'!D9="","",IF('Top 10 Risks'!H9=1,MatrixImpact!I10/2,IF('Top 10 Risks'!H9=2,SQRT(MatrixImpact!I10*MatrixImpact!I11),IF('Top 10 Risks'!H9=3,SQRT(MatrixImpact!I11*MatrixImpact!I12),IF('Top 10 Risks'!H9=4,SQRT(MatrixImpact!I12*MatrixImpact!I13),IF('Top 10 Risks'!H9=5,MatrixImpact!I13*1.5,""))))))</f>
        <v/>
      </c>
      <c r="F6" s="184" t="str">
        <f t="shared" ref="F6:F36" si="0">IF(E6="","",MIN(10,MAX(1,2*LN(E6+1))))</f>
        <v/>
      </c>
      <c r="G6" s="185" t="str">
        <f t="shared" ref="G6:G36" si="1">IF(D6="","",D6*E6)</f>
        <v/>
      </c>
      <c r="H6" s="179" t="str">
        <f>IF('Top 10 Risks'!D9="","",IF('Top 10 Risks'!K9=1,7,IF('Top 10 Risks'!K9=2,5,IF('Top 10 Risks'!K9=3,3,IF('Top 10 Risks'!K9=4,9,5)))))</f>
        <v/>
      </c>
      <c r="I6" s="56" t="str">
        <f>IF(H6="","",H6/Calibration!$C$21)</f>
        <v/>
      </c>
      <c r="J6" s="186" t="str">
        <f t="shared" ref="J6:J36" si="2">IF(I6="","",1/SQRT(1-MIN(I6,0.95)^2))</f>
        <v/>
      </c>
      <c r="K6" s="187" t="str">
        <f t="shared" ref="K6:K36" si="3">IF(H6="","",(10-H6)*3)</f>
        <v/>
      </c>
      <c r="L6" s="188" t="str">
        <f t="shared" ref="L6:L36" si="4">IF(D6="","",MIN(0.95,D6*1.2))</f>
        <v/>
      </c>
      <c r="M6" s="189" t="str">
        <f>IF('Top 10 Risks'!D9="","",MIN(1,SUM('Risk Interaction Map'!E8:AI8)/MAX(1,COUNTA('Top 10 Risks'!D$9:D$39)-1)))</f>
        <v/>
      </c>
      <c r="N6" s="186" t="str">
        <f t="shared" ref="N6:N36" si="5">IF(K6="","",K6*L6*M6)</f>
        <v/>
      </c>
      <c r="O6" s="186" t="str">
        <f t="shared" ref="O6:O36" si="6">IF(N6="","",N6/J6)</f>
        <v/>
      </c>
      <c r="P6" s="186" t="str">
        <f>IF(O6="","",MIN(1,MAX(0,(10-O6)/10)))</f>
        <v/>
      </c>
      <c r="Q6" s="186" t="str">
        <f>IF(P6="","",1-P6)</f>
        <v/>
      </c>
      <c r="R6" s="56">
        <f>Coherence_Density!$D$16</f>
        <v>1.0199812770051111</v>
      </c>
      <c r="S6" s="56">
        <f>Coherence_Density!$D$18</f>
        <v>0.63375000000000004</v>
      </c>
      <c r="T6" s="190" t="str">
        <f t="shared" ref="T6:T36" si="7">IF(P6="","",P6*J6*(2-S6))</f>
        <v/>
      </c>
      <c r="U6" s="56" t="str">
        <f>IF(Q6="","",Calibration!$C$20+0.3*(1-Q6))</f>
        <v/>
      </c>
      <c r="V6" s="186" t="str">
        <f t="shared" ref="V6:V36" si="8">IF(O6="","",O6*(1-1.645*U6))</f>
        <v/>
      </c>
      <c r="W6" s="186" t="str">
        <f t="shared" ref="W6:W36" si="9">IF(O6="","",O6)</f>
        <v/>
      </c>
      <c r="X6" s="186" t="str">
        <f t="shared" ref="X6:X36" si="10">IF(O6="","",O6*(1+1.645*U6))</f>
        <v/>
      </c>
      <c r="Y6" s="186" t="str">
        <f t="shared" ref="Y6:Y36" si="11">IF(T6="","",IF(T6&gt;=1.5,"CRITICAL",IF(T6&gt;=1,"HIGH",IF(T6&gt;=0.5,"MEDIUM","LOW"))))</f>
        <v/>
      </c>
      <c r="Z6" s="191">
        <v>0.78</v>
      </c>
      <c r="AA6" s="191">
        <v>0.85</v>
      </c>
      <c r="AB6" s="180" t="str">
        <f>IF('Top 10 Risks'!E9="","",'Top 10 Risks'!E9)</f>
        <v/>
      </c>
    </row>
    <row r="7" spans="1:28" ht="19.5" customHeight="1" x14ac:dyDescent="0.25">
      <c r="A7" s="179" t="str">
        <f>IF('Top 10 Risks'!D10="","",'Top 10 Risks'!C10)</f>
        <v/>
      </c>
      <c r="B7" s="180" t="str">
        <f>IF('Top 10 Risks'!D10="","",'Top 10 Risks'!D10)</f>
        <v/>
      </c>
      <c r="C7" s="181" t="s">
        <v>103</v>
      </c>
      <c r="D7" s="182" t="str">
        <f>IF('Top 10 Risks'!D10="","",IF('Top 10 Risks'!J10=1,0.05,IF('Top 10 Risks'!J10=2,0.2,IF('Top 10 Risks'!J10=3,0.4,IF('Top 10 Risks'!J10=4,0.7,IF('Top 10 Risks'!J10=5,0.95,""))))))</f>
        <v/>
      </c>
      <c r="E7" s="183" t="str">
        <f>IF('Top 10 Risks'!D10="","",IF('Top 10 Risks'!H10=1,MatrixImpact!I10/2,IF('Top 10 Risks'!H10=2,SQRT(MatrixImpact!I10*MatrixImpact!I11),IF('Top 10 Risks'!H10=3,SQRT(MatrixImpact!I11*MatrixImpact!I12),IF('Top 10 Risks'!H10=4,SQRT(MatrixImpact!I12*MatrixImpact!I13),IF('Top 10 Risks'!H10=5,MatrixImpact!I13*1.5,""))))))</f>
        <v/>
      </c>
      <c r="F7" s="184" t="str">
        <f t="shared" si="0"/>
        <v/>
      </c>
      <c r="G7" s="185" t="str">
        <f t="shared" si="1"/>
        <v/>
      </c>
      <c r="H7" s="179" t="str">
        <f>IF('Top 10 Risks'!D10="","",IF('Top 10 Risks'!K10=1,7,IF('Top 10 Risks'!K10=2,5,IF('Top 10 Risks'!K10=3,3,IF('Top 10 Risks'!K10=4,9,5)))))</f>
        <v/>
      </c>
      <c r="I7" s="56" t="str">
        <f>IF(H7="","",H7/Calibration!$C$21)</f>
        <v/>
      </c>
      <c r="J7" s="186" t="str">
        <f t="shared" si="2"/>
        <v/>
      </c>
      <c r="K7" s="187" t="str">
        <f t="shared" si="3"/>
        <v/>
      </c>
      <c r="L7" s="188" t="str">
        <f t="shared" si="4"/>
        <v/>
      </c>
      <c r="M7" s="189" t="str">
        <f>IF('Top 10 Risks'!D10="","",MIN(1,SUM('Risk Interaction Map'!E9:AI9)/MAX(1,COUNTA('Top 10 Risks'!D$9:D$39)-1)))</f>
        <v/>
      </c>
      <c r="N7" s="186" t="str">
        <f t="shared" si="5"/>
        <v/>
      </c>
      <c r="O7" s="186" t="str">
        <f t="shared" si="6"/>
        <v/>
      </c>
      <c r="P7" s="186" t="str">
        <f t="shared" ref="P7:P36" si="12">IF(O7="","",MIN(1,MAX(0,(10-O7)/10)))</f>
        <v/>
      </c>
      <c r="Q7" s="186" t="str">
        <f t="shared" ref="Q7:Q36" si="13">IF(P7="","",1-P7)</f>
        <v/>
      </c>
      <c r="R7" s="56">
        <f>Coherence_Density!$D$16</f>
        <v>1.0199812770051111</v>
      </c>
      <c r="S7" s="56">
        <f>Coherence_Density!$D$18</f>
        <v>0.63375000000000004</v>
      </c>
      <c r="T7" s="190" t="str">
        <f t="shared" si="7"/>
        <v/>
      </c>
      <c r="U7" s="56" t="str">
        <f>IF(Q7="","",Calibration!$C$20+0.3*(1-Q7))</f>
        <v/>
      </c>
      <c r="V7" s="186" t="str">
        <f t="shared" si="8"/>
        <v/>
      </c>
      <c r="W7" s="186" t="str">
        <f t="shared" si="9"/>
        <v/>
      </c>
      <c r="X7" s="186" t="str">
        <f t="shared" si="10"/>
        <v/>
      </c>
      <c r="Y7" s="186" t="str">
        <f t="shared" si="11"/>
        <v/>
      </c>
      <c r="Z7" s="191">
        <v>0.65</v>
      </c>
      <c r="AA7" s="191">
        <v>0.8</v>
      </c>
      <c r="AB7" s="180" t="str">
        <f>IF('Top 10 Risks'!E10="","",'Top 10 Risks'!E10)</f>
        <v/>
      </c>
    </row>
    <row r="8" spans="1:28" ht="19.5" customHeight="1" x14ac:dyDescent="0.25">
      <c r="A8" s="179" t="str">
        <f>IF('Top 10 Risks'!D11="","",'Top 10 Risks'!C11)</f>
        <v/>
      </c>
      <c r="B8" s="180" t="str">
        <f>IF('Top 10 Risks'!D11="","",'Top 10 Risks'!D11)</f>
        <v/>
      </c>
      <c r="C8" s="181" t="s">
        <v>98</v>
      </c>
      <c r="D8" s="182" t="str">
        <f>IF('Top 10 Risks'!D11="","",IF('Top 10 Risks'!J11=1,0.05,IF('Top 10 Risks'!J11=2,0.2,IF('Top 10 Risks'!J11=3,0.4,IF('Top 10 Risks'!J11=4,0.7,IF('Top 10 Risks'!J11=5,0.95,""))))))</f>
        <v/>
      </c>
      <c r="E8" s="183" t="str">
        <f>IF('Top 10 Risks'!D11="","",IF('Top 10 Risks'!H11=1,MatrixImpact!I10/2,IF('Top 10 Risks'!H11=2,SQRT(MatrixImpact!I10*MatrixImpact!I11),IF('Top 10 Risks'!H11=3,SQRT(MatrixImpact!I11*MatrixImpact!I12),IF('Top 10 Risks'!H11=4,SQRT(MatrixImpact!I12*MatrixImpact!I13),IF('Top 10 Risks'!H11=5,MatrixImpact!I13*1.5,""))))))</f>
        <v/>
      </c>
      <c r="F8" s="184" t="str">
        <f t="shared" si="0"/>
        <v/>
      </c>
      <c r="G8" s="185" t="str">
        <f t="shared" si="1"/>
        <v/>
      </c>
      <c r="H8" s="179" t="str">
        <f>IF('Top 10 Risks'!D11="","",IF('Top 10 Risks'!K11=1,7,IF('Top 10 Risks'!K11=2,5,IF('Top 10 Risks'!K11=3,3,IF('Top 10 Risks'!K11=4,9,5)))))</f>
        <v/>
      </c>
      <c r="I8" s="56" t="str">
        <f>IF(H8="","",H8/Calibration!$C$21)</f>
        <v/>
      </c>
      <c r="J8" s="186" t="str">
        <f t="shared" si="2"/>
        <v/>
      </c>
      <c r="K8" s="187" t="str">
        <f t="shared" si="3"/>
        <v/>
      </c>
      <c r="L8" s="188" t="str">
        <f t="shared" si="4"/>
        <v/>
      </c>
      <c r="M8" s="189" t="str">
        <f>IF('Top 10 Risks'!D11="","",MIN(1,SUM('Risk Interaction Map'!E10:AI10)/MAX(1,COUNTA('Top 10 Risks'!D$9:D$39)-1)))</f>
        <v/>
      </c>
      <c r="N8" s="186" t="str">
        <f t="shared" si="5"/>
        <v/>
      </c>
      <c r="O8" s="186" t="str">
        <f t="shared" si="6"/>
        <v/>
      </c>
      <c r="P8" s="186" t="str">
        <f t="shared" si="12"/>
        <v/>
      </c>
      <c r="Q8" s="186" t="str">
        <f t="shared" si="13"/>
        <v/>
      </c>
      <c r="R8" s="56">
        <f>Coherence_Density!$D$16</f>
        <v>1.0199812770051111</v>
      </c>
      <c r="S8" s="56">
        <f>Coherence_Density!$D$18</f>
        <v>0.63375000000000004</v>
      </c>
      <c r="T8" s="190" t="str">
        <f t="shared" si="7"/>
        <v/>
      </c>
      <c r="U8" s="56" t="str">
        <f>IF(Q8="","",Calibration!$C$20+0.3*(1-Q8))</f>
        <v/>
      </c>
      <c r="V8" s="186" t="str">
        <f t="shared" si="8"/>
        <v/>
      </c>
      <c r="W8" s="186" t="str">
        <f t="shared" si="9"/>
        <v/>
      </c>
      <c r="X8" s="186" t="str">
        <f t="shared" si="10"/>
        <v/>
      </c>
      <c r="Y8" s="186" t="str">
        <f t="shared" si="11"/>
        <v/>
      </c>
      <c r="Z8" s="191">
        <v>0.82</v>
      </c>
      <c r="AA8" s="191">
        <v>0.9</v>
      </c>
      <c r="AB8" s="180" t="str">
        <f>IF('Top 10 Risks'!E11="","",'Top 10 Risks'!E11)</f>
        <v/>
      </c>
    </row>
    <row r="9" spans="1:28" ht="15" customHeight="1" x14ac:dyDescent="0.25">
      <c r="A9" s="179" t="str">
        <f>IF('Top 10 Risks'!D12="","",'Top 10 Risks'!C12)</f>
        <v/>
      </c>
      <c r="B9" s="180" t="str">
        <f>IF('Top 10 Risks'!D12="","",'Top 10 Risks'!D12)</f>
        <v/>
      </c>
      <c r="C9" s="192"/>
      <c r="D9" s="182" t="str">
        <f>IF('Top 10 Risks'!D12="","",IF('Top 10 Risks'!J12=1,0.05,IF('Top 10 Risks'!J12=2,0.2,IF('Top 10 Risks'!J12=3,0.4,IF('Top 10 Risks'!J12=4,0.7,IF('Top 10 Risks'!J12=5,0.95,""))))))</f>
        <v/>
      </c>
      <c r="E9" s="183" t="str">
        <f>IF('Top 10 Risks'!D12="","",IF('Top 10 Risks'!H12=1,MatrixImpact!I10/2,IF('Top 10 Risks'!H12=2,SQRT(MatrixImpact!I10*MatrixImpact!I11),IF('Top 10 Risks'!H12=3,SQRT(MatrixImpact!I11*MatrixImpact!I12),IF('Top 10 Risks'!H12=4,SQRT(MatrixImpact!I12*MatrixImpact!I13),IF('Top 10 Risks'!H12=5,MatrixImpact!I13*1.5,""))))))</f>
        <v/>
      </c>
      <c r="F9" s="184" t="str">
        <f t="shared" si="0"/>
        <v/>
      </c>
      <c r="G9" s="185" t="str">
        <f t="shared" si="1"/>
        <v/>
      </c>
      <c r="H9" s="179" t="str">
        <f>IF('Top 10 Risks'!D12="","",IF('Top 10 Risks'!K12=1,7,IF('Top 10 Risks'!K12=2,5,IF('Top 10 Risks'!K12=3,3,IF('Top 10 Risks'!K12=4,9,5)))))</f>
        <v/>
      </c>
      <c r="I9" s="56" t="str">
        <f>IF(H9="","",H9/Calibration!$C$21)</f>
        <v/>
      </c>
      <c r="J9" s="186" t="str">
        <f t="shared" si="2"/>
        <v/>
      </c>
      <c r="K9" s="187" t="str">
        <f t="shared" si="3"/>
        <v/>
      </c>
      <c r="L9" s="188" t="str">
        <f t="shared" si="4"/>
        <v/>
      </c>
      <c r="M9" s="189" t="str">
        <f>IF('Top 10 Risks'!D12="","",MIN(1,SUM('Risk Interaction Map'!E11:AI11)/MAX(1,COUNTA('Top 10 Risks'!D$9:D$39)-1)))</f>
        <v/>
      </c>
      <c r="N9" s="186" t="str">
        <f t="shared" si="5"/>
        <v/>
      </c>
      <c r="O9" s="186" t="str">
        <f t="shared" si="6"/>
        <v/>
      </c>
      <c r="P9" s="186" t="str">
        <f t="shared" si="12"/>
        <v/>
      </c>
      <c r="Q9" s="186" t="str">
        <f t="shared" si="13"/>
        <v/>
      </c>
      <c r="R9" s="56">
        <f>Coherence_Density!$D$16</f>
        <v>1.0199812770051111</v>
      </c>
      <c r="S9" s="56">
        <f>Coherence_Density!$D$18</f>
        <v>0.63375000000000004</v>
      </c>
      <c r="T9" s="190" t="str">
        <f t="shared" si="7"/>
        <v/>
      </c>
      <c r="U9" s="56" t="str">
        <f>IF(Q9="","",Calibration!$C$20+0.3*(1-Q9))</f>
        <v/>
      </c>
      <c r="V9" s="186" t="str">
        <f t="shared" si="8"/>
        <v/>
      </c>
      <c r="W9" s="186" t="str">
        <f t="shared" si="9"/>
        <v/>
      </c>
      <c r="X9" s="186" t="str">
        <f t="shared" si="10"/>
        <v/>
      </c>
      <c r="Y9" s="186" t="str">
        <f t="shared" si="11"/>
        <v/>
      </c>
      <c r="Z9" s="192"/>
      <c r="AA9" s="192"/>
      <c r="AB9" s="180" t="str">
        <f>IF('Top 10 Risks'!E12="","",'Top 10 Risks'!E12)</f>
        <v/>
      </c>
    </row>
    <row r="10" spans="1:28" ht="15" customHeight="1" x14ac:dyDescent="0.25">
      <c r="A10" s="179" t="str">
        <f>IF('Top 10 Risks'!D13="","",'Top 10 Risks'!C13)</f>
        <v/>
      </c>
      <c r="B10" s="180" t="str">
        <f>IF('Top 10 Risks'!D13="","",'Top 10 Risks'!D13)</f>
        <v/>
      </c>
      <c r="C10" s="192"/>
      <c r="D10" s="182" t="str">
        <f>IF('Top 10 Risks'!D13="","",IF('Top 10 Risks'!J13=1,0.05,IF('Top 10 Risks'!J13=2,0.2,IF('Top 10 Risks'!J13=3,0.4,IF('Top 10 Risks'!J13=4,0.7,IF('Top 10 Risks'!J13=5,0.95,""))))))</f>
        <v/>
      </c>
      <c r="E10" s="183" t="str">
        <f>IF('Top 10 Risks'!D13="","",IF('Top 10 Risks'!H13=1,MatrixImpact!I10/2,IF('Top 10 Risks'!H13=2,SQRT(MatrixImpact!I10*MatrixImpact!I11),IF('Top 10 Risks'!H13=3,SQRT(MatrixImpact!I11*MatrixImpact!I12),IF('Top 10 Risks'!H13=4,SQRT(MatrixImpact!I12*MatrixImpact!I13),IF('Top 10 Risks'!H13=5,MatrixImpact!I13*1.5,""))))))</f>
        <v/>
      </c>
      <c r="F10" s="184" t="str">
        <f t="shared" si="0"/>
        <v/>
      </c>
      <c r="G10" s="185" t="str">
        <f t="shared" si="1"/>
        <v/>
      </c>
      <c r="H10" s="179" t="str">
        <f>IF('Top 10 Risks'!D13="","",IF('Top 10 Risks'!K13=1,7,IF('Top 10 Risks'!K13=2,5,IF('Top 10 Risks'!K13=3,3,IF('Top 10 Risks'!K13=4,9,5)))))</f>
        <v/>
      </c>
      <c r="I10" s="56" t="str">
        <f>IF(H10="","",H10/Calibration!$C$21)</f>
        <v/>
      </c>
      <c r="J10" s="186" t="str">
        <f t="shared" si="2"/>
        <v/>
      </c>
      <c r="K10" s="187" t="str">
        <f t="shared" si="3"/>
        <v/>
      </c>
      <c r="L10" s="188" t="str">
        <f t="shared" si="4"/>
        <v/>
      </c>
      <c r="M10" s="189" t="str">
        <f>IF('Top 10 Risks'!D13="","",MIN(1,SUM('Risk Interaction Map'!E12:AI12)/MAX(1,COUNTA('Top 10 Risks'!D$9:D$39)-1)))</f>
        <v/>
      </c>
      <c r="N10" s="186" t="str">
        <f t="shared" si="5"/>
        <v/>
      </c>
      <c r="O10" s="186" t="str">
        <f t="shared" si="6"/>
        <v/>
      </c>
      <c r="P10" s="186" t="str">
        <f t="shared" si="12"/>
        <v/>
      </c>
      <c r="Q10" s="186" t="str">
        <f t="shared" si="13"/>
        <v/>
      </c>
      <c r="R10" s="56">
        <f>Coherence_Density!$D$16</f>
        <v>1.0199812770051111</v>
      </c>
      <c r="S10" s="56">
        <f>Coherence_Density!$D$18</f>
        <v>0.63375000000000004</v>
      </c>
      <c r="T10" s="190" t="str">
        <f t="shared" si="7"/>
        <v/>
      </c>
      <c r="U10" s="56" t="str">
        <f>IF(Q10="","",Calibration!$C$20+0.3*(1-Q10))</f>
        <v/>
      </c>
      <c r="V10" s="186" t="str">
        <f t="shared" si="8"/>
        <v/>
      </c>
      <c r="W10" s="186" t="str">
        <f t="shared" si="9"/>
        <v/>
      </c>
      <c r="X10" s="186" t="str">
        <f t="shared" si="10"/>
        <v/>
      </c>
      <c r="Y10" s="186" t="str">
        <f t="shared" si="11"/>
        <v/>
      </c>
      <c r="Z10" s="192"/>
      <c r="AA10" s="192"/>
      <c r="AB10" s="180" t="str">
        <f>IF('Top 10 Risks'!E13="","",'Top 10 Risks'!E13)</f>
        <v/>
      </c>
    </row>
    <row r="11" spans="1:28" ht="15" customHeight="1" x14ac:dyDescent="0.25">
      <c r="A11" s="179" t="str">
        <f>IF('Top 10 Risks'!D14="","",'Top 10 Risks'!C14)</f>
        <v/>
      </c>
      <c r="B11" s="180" t="str">
        <f>IF('Top 10 Risks'!D14="","",'Top 10 Risks'!D14)</f>
        <v/>
      </c>
      <c r="C11" s="192"/>
      <c r="D11" s="182" t="str">
        <f>IF('Top 10 Risks'!D14="","",IF('Top 10 Risks'!J14=1,0.05,IF('Top 10 Risks'!J14=2,0.2,IF('Top 10 Risks'!J14=3,0.4,IF('Top 10 Risks'!J14=4,0.7,IF('Top 10 Risks'!J14=5,0.95,""))))))</f>
        <v/>
      </c>
      <c r="E11" s="183" t="str">
        <f>IF('Top 10 Risks'!D14="","",IF('Top 10 Risks'!H14=1,MatrixImpact!I10/2,IF('Top 10 Risks'!H14=2,SQRT(MatrixImpact!I10*MatrixImpact!I11),IF('Top 10 Risks'!H14=3,SQRT(MatrixImpact!I11*MatrixImpact!I12),IF('Top 10 Risks'!H14=4,SQRT(MatrixImpact!I12*MatrixImpact!I13),IF('Top 10 Risks'!H14=5,MatrixImpact!I13*1.5,""))))))</f>
        <v/>
      </c>
      <c r="F11" s="184" t="str">
        <f t="shared" si="0"/>
        <v/>
      </c>
      <c r="G11" s="185" t="str">
        <f t="shared" si="1"/>
        <v/>
      </c>
      <c r="H11" s="179" t="str">
        <f>IF('Top 10 Risks'!D14="","",IF('Top 10 Risks'!K14=1,7,IF('Top 10 Risks'!K14=2,5,IF('Top 10 Risks'!K14=3,3,IF('Top 10 Risks'!K14=4,9,5)))))</f>
        <v/>
      </c>
      <c r="I11" s="56" t="str">
        <f>IF(H11="","",H11/Calibration!$C$21)</f>
        <v/>
      </c>
      <c r="J11" s="186" t="str">
        <f t="shared" si="2"/>
        <v/>
      </c>
      <c r="K11" s="187" t="str">
        <f t="shared" si="3"/>
        <v/>
      </c>
      <c r="L11" s="188" t="str">
        <f t="shared" si="4"/>
        <v/>
      </c>
      <c r="M11" s="189" t="str">
        <f>IF('Top 10 Risks'!D14="","",MIN(1,SUM('Risk Interaction Map'!E13:AI13)/MAX(1,COUNTA('Top 10 Risks'!D$9:D$39)-1)))</f>
        <v/>
      </c>
      <c r="N11" s="186" t="str">
        <f t="shared" si="5"/>
        <v/>
      </c>
      <c r="O11" s="186" t="str">
        <f t="shared" si="6"/>
        <v/>
      </c>
      <c r="P11" s="186" t="str">
        <f t="shared" si="12"/>
        <v/>
      </c>
      <c r="Q11" s="186" t="str">
        <f t="shared" si="13"/>
        <v/>
      </c>
      <c r="R11" s="56">
        <f>Coherence_Density!$D$16</f>
        <v>1.0199812770051111</v>
      </c>
      <c r="S11" s="56">
        <f>Coherence_Density!$D$18</f>
        <v>0.63375000000000004</v>
      </c>
      <c r="T11" s="190" t="str">
        <f t="shared" si="7"/>
        <v/>
      </c>
      <c r="U11" s="56" t="str">
        <f>IF(Q11="","",Calibration!$C$20+0.3*(1-Q11))</f>
        <v/>
      </c>
      <c r="V11" s="186" t="str">
        <f t="shared" si="8"/>
        <v/>
      </c>
      <c r="W11" s="186" t="str">
        <f t="shared" si="9"/>
        <v/>
      </c>
      <c r="X11" s="186" t="str">
        <f t="shared" si="10"/>
        <v/>
      </c>
      <c r="Y11" s="186" t="str">
        <f t="shared" si="11"/>
        <v/>
      </c>
      <c r="Z11" s="192"/>
      <c r="AA11" s="192"/>
      <c r="AB11" s="180" t="str">
        <f>IF('Top 10 Risks'!E14="","",'Top 10 Risks'!E14)</f>
        <v/>
      </c>
    </row>
    <row r="12" spans="1:28" ht="15" customHeight="1" x14ac:dyDescent="0.25">
      <c r="A12" s="179" t="str">
        <f>IF('Top 10 Risks'!D15="","",'Top 10 Risks'!C15)</f>
        <v/>
      </c>
      <c r="B12" s="180" t="str">
        <f>IF('Top 10 Risks'!D15="","",'Top 10 Risks'!D15)</f>
        <v/>
      </c>
      <c r="C12" s="192"/>
      <c r="D12" s="182" t="str">
        <f>IF('Top 10 Risks'!D15="","",IF('Top 10 Risks'!J15=1,0.05,IF('Top 10 Risks'!J15=2,0.2,IF('Top 10 Risks'!J15=3,0.4,IF('Top 10 Risks'!J15=4,0.7,IF('Top 10 Risks'!J15=5,0.95,""))))))</f>
        <v/>
      </c>
      <c r="E12" s="183" t="str">
        <f>IF('Top 10 Risks'!D15="","",IF('Top 10 Risks'!H15=1,MatrixImpact!I10/2,IF('Top 10 Risks'!H15=2,SQRT(MatrixImpact!I10*MatrixImpact!I11),IF('Top 10 Risks'!H15=3,SQRT(MatrixImpact!I11*MatrixImpact!I12),IF('Top 10 Risks'!H15=4,SQRT(MatrixImpact!I12*MatrixImpact!I13),IF('Top 10 Risks'!H15=5,MatrixImpact!I13*1.5,""))))))</f>
        <v/>
      </c>
      <c r="F12" s="184" t="str">
        <f t="shared" si="0"/>
        <v/>
      </c>
      <c r="G12" s="185" t="str">
        <f t="shared" si="1"/>
        <v/>
      </c>
      <c r="H12" s="179" t="str">
        <f>IF('Top 10 Risks'!D15="","",IF('Top 10 Risks'!K15=1,7,IF('Top 10 Risks'!K15=2,5,IF('Top 10 Risks'!K15=3,3,IF('Top 10 Risks'!K15=4,9,5)))))</f>
        <v/>
      </c>
      <c r="I12" s="56" t="str">
        <f>IF(H12="","",H12/Calibration!$C$21)</f>
        <v/>
      </c>
      <c r="J12" s="186" t="str">
        <f t="shared" si="2"/>
        <v/>
      </c>
      <c r="K12" s="187" t="str">
        <f t="shared" si="3"/>
        <v/>
      </c>
      <c r="L12" s="188" t="str">
        <f t="shared" si="4"/>
        <v/>
      </c>
      <c r="M12" s="189" t="str">
        <f>IF('Top 10 Risks'!D15="","",MIN(1,SUM('Risk Interaction Map'!E14:AI14)/MAX(1,COUNTA('Top 10 Risks'!D$9:D$39)-1)))</f>
        <v/>
      </c>
      <c r="N12" s="186" t="str">
        <f t="shared" si="5"/>
        <v/>
      </c>
      <c r="O12" s="186" t="str">
        <f t="shared" si="6"/>
        <v/>
      </c>
      <c r="P12" s="186" t="str">
        <f t="shared" si="12"/>
        <v/>
      </c>
      <c r="Q12" s="186" t="str">
        <f t="shared" si="13"/>
        <v/>
      </c>
      <c r="R12" s="56">
        <f>Coherence_Density!$D$16</f>
        <v>1.0199812770051111</v>
      </c>
      <c r="S12" s="56">
        <f>Coherence_Density!$D$18</f>
        <v>0.63375000000000004</v>
      </c>
      <c r="T12" s="190" t="str">
        <f t="shared" si="7"/>
        <v/>
      </c>
      <c r="U12" s="56" t="str">
        <f>IF(Q12="","",Calibration!$C$20+0.3*(1-Q12))</f>
        <v/>
      </c>
      <c r="V12" s="186" t="str">
        <f t="shared" si="8"/>
        <v/>
      </c>
      <c r="W12" s="186" t="str">
        <f t="shared" si="9"/>
        <v/>
      </c>
      <c r="X12" s="186" t="str">
        <f t="shared" si="10"/>
        <v/>
      </c>
      <c r="Y12" s="186" t="str">
        <f t="shared" si="11"/>
        <v/>
      </c>
      <c r="Z12" s="192"/>
      <c r="AA12" s="192"/>
      <c r="AB12" s="180" t="str">
        <f>IF('Top 10 Risks'!E15="","",'Top 10 Risks'!E15)</f>
        <v/>
      </c>
    </row>
    <row r="13" spans="1:28" ht="15" customHeight="1" x14ac:dyDescent="0.25">
      <c r="A13" s="179" t="str">
        <f>IF('Top 10 Risks'!D16="","",'Top 10 Risks'!C16)</f>
        <v/>
      </c>
      <c r="B13" s="180" t="str">
        <f>IF('Top 10 Risks'!D16="","",'Top 10 Risks'!D16)</f>
        <v/>
      </c>
      <c r="C13" s="192"/>
      <c r="D13" s="182" t="str">
        <f>IF('Top 10 Risks'!D16="","",IF('Top 10 Risks'!J16=1,0.05,IF('Top 10 Risks'!J16=2,0.2,IF('Top 10 Risks'!J16=3,0.4,IF('Top 10 Risks'!J16=4,0.7,IF('Top 10 Risks'!J16=5,0.95,""))))))</f>
        <v/>
      </c>
      <c r="E13" s="183" t="str">
        <f>IF('Top 10 Risks'!D16="","",IF('Top 10 Risks'!H16=1,MatrixImpact!I10/2,IF('Top 10 Risks'!H16=2,SQRT(MatrixImpact!I10*MatrixImpact!I11),IF('Top 10 Risks'!H16=3,SQRT(MatrixImpact!I11*MatrixImpact!I12),IF('Top 10 Risks'!H16=4,SQRT(MatrixImpact!I12*MatrixImpact!I13),IF('Top 10 Risks'!H16=5,MatrixImpact!I13*1.5,""))))))</f>
        <v/>
      </c>
      <c r="F13" s="184" t="str">
        <f t="shared" si="0"/>
        <v/>
      </c>
      <c r="G13" s="185" t="str">
        <f t="shared" si="1"/>
        <v/>
      </c>
      <c r="H13" s="179" t="str">
        <f>IF('Top 10 Risks'!D16="","",IF('Top 10 Risks'!K16=1,7,IF('Top 10 Risks'!K16=2,5,IF('Top 10 Risks'!K16=3,3,IF('Top 10 Risks'!K16=4,9,5)))))</f>
        <v/>
      </c>
      <c r="I13" s="56" t="str">
        <f>IF(H13="","",H13/Calibration!$C$21)</f>
        <v/>
      </c>
      <c r="J13" s="186" t="str">
        <f t="shared" si="2"/>
        <v/>
      </c>
      <c r="K13" s="187" t="str">
        <f t="shared" si="3"/>
        <v/>
      </c>
      <c r="L13" s="188" t="str">
        <f t="shared" si="4"/>
        <v/>
      </c>
      <c r="M13" s="189" t="str">
        <f>IF('Top 10 Risks'!D16="","",MIN(1,SUM('Risk Interaction Map'!E15:AI15)/MAX(1,COUNTA('Top 10 Risks'!D$9:D$39)-1)))</f>
        <v/>
      </c>
      <c r="N13" s="186" t="str">
        <f t="shared" si="5"/>
        <v/>
      </c>
      <c r="O13" s="186" t="str">
        <f t="shared" si="6"/>
        <v/>
      </c>
      <c r="P13" s="186" t="str">
        <f t="shared" si="12"/>
        <v/>
      </c>
      <c r="Q13" s="186" t="str">
        <f t="shared" si="13"/>
        <v/>
      </c>
      <c r="R13" s="56">
        <f>Coherence_Density!$D$16</f>
        <v>1.0199812770051111</v>
      </c>
      <c r="S13" s="56">
        <f>Coherence_Density!$D$18</f>
        <v>0.63375000000000004</v>
      </c>
      <c r="T13" s="190" t="str">
        <f t="shared" si="7"/>
        <v/>
      </c>
      <c r="U13" s="56" t="str">
        <f>IF(Q13="","",Calibration!$C$20+0.3*(1-Q13))</f>
        <v/>
      </c>
      <c r="V13" s="186" t="str">
        <f t="shared" si="8"/>
        <v/>
      </c>
      <c r="W13" s="186" t="str">
        <f t="shared" si="9"/>
        <v/>
      </c>
      <c r="X13" s="186" t="str">
        <f t="shared" si="10"/>
        <v/>
      </c>
      <c r="Y13" s="186" t="str">
        <f t="shared" si="11"/>
        <v/>
      </c>
      <c r="Z13" s="192"/>
      <c r="AA13" s="192"/>
      <c r="AB13" s="180" t="str">
        <f>IF('Top 10 Risks'!E16="","",'Top 10 Risks'!E16)</f>
        <v/>
      </c>
    </row>
    <row r="14" spans="1:28" ht="15" customHeight="1" x14ac:dyDescent="0.25">
      <c r="A14" s="179" t="str">
        <f>IF('Top 10 Risks'!D17="","",'Top 10 Risks'!C17)</f>
        <v/>
      </c>
      <c r="B14" s="180" t="str">
        <f>IF('Top 10 Risks'!D17="","",'Top 10 Risks'!D17)</f>
        <v/>
      </c>
      <c r="C14" s="192"/>
      <c r="D14" s="182" t="str">
        <f>IF('Top 10 Risks'!D17="","",IF('Top 10 Risks'!J17=1,0.05,IF('Top 10 Risks'!J17=2,0.2,IF('Top 10 Risks'!J17=3,0.4,IF('Top 10 Risks'!J17=4,0.7,IF('Top 10 Risks'!J17=5,0.95,""))))))</f>
        <v/>
      </c>
      <c r="E14" s="183" t="str">
        <f>IF('Top 10 Risks'!D17="","",IF('Top 10 Risks'!H17=1,MatrixImpact!I10/2,IF('Top 10 Risks'!H17=2,SQRT(MatrixImpact!I10*MatrixImpact!I11),IF('Top 10 Risks'!H17=3,SQRT(MatrixImpact!I11*MatrixImpact!I12),IF('Top 10 Risks'!H17=4,SQRT(MatrixImpact!I12*MatrixImpact!I13),IF('Top 10 Risks'!H17=5,MatrixImpact!I13*1.5,""))))))</f>
        <v/>
      </c>
      <c r="F14" s="184" t="str">
        <f t="shared" si="0"/>
        <v/>
      </c>
      <c r="G14" s="185" t="str">
        <f t="shared" si="1"/>
        <v/>
      </c>
      <c r="H14" s="179" t="str">
        <f>IF('Top 10 Risks'!D17="","",IF('Top 10 Risks'!K17=1,7,IF('Top 10 Risks'!K17=2,5,IF('Top 10 Risks'!K17=3,3,IF('Top 10 Risks'!K17=4,9,5)))))</f>
        <v/>
      </c>
      <c r="I14" s="56" t="str">
        <f>IF(H14="","",H14/Calibration!$C$21)</f>
        <v/>
      </c>
      <c r="J14" s="186" t="str">
        <f t="shared" si="2"/>
        <v/>
      </c>
      <c r="K14" s="187" t="str">
        <f t="shared" si="3"/>
        <v/>
      </c>
      <c r="L14" s="188" t="str">
        <f t="shared" si="4"/>
        <v/>
      </c>
      <c r="M14" s="189" t="str">
        <f>IF('Top 10 Risks'!D17="","",MIN(1,SUM('Risk Interaction Map'!E16:AI16)/MAX(1,COUNTA('Top 10 Risks'!D$9:D$39)-1)))</f>
        <v/>
      </c>
      <c r="N14" s="186" t="str">
        <f t="shared" si="5"/>
        <v/>
      </c>
      <c r="O14" s="186" t="str">
        <f t="shared" si="6"/>
        <v/>
      </c>
      <c r="P14" s="186" t="str">
        <f t="shared" si="12"/>
        <v/>
      </c>
      <c r="Q14" s="186" t="str">
        <f t="shared" si="13"/>
        <v/>
      </c>
      <c r="R14" s="56">
        <f>Coherence_Density!$D$16</f>
        <v>1.0199812770051111</v>
      </c>
      <c r="S14" s="56">
        <f>Coherence_Density!$D$18</f>
        <v>0.63375000000000004</v>
      </c>
      <c r="T14" s="190" t="str">
        <f t="shared" si="7"/>
        <v/>
      </c>
      <c r="U14" s="56" t="str">
        <f>IF(Q14="","",Calibration!$C$20+0.3*(1-Q14))</f>
        <v/>
      </c>
      <c r="V14" s="186" t="str">
        <f t="shared" si="8"/>
        <v/>
      </c>
      <c r="W14" s="186" t="str">
        <f t="shared" si="9"/>
        <v/>
      </c>
      <c r="X14" s="186" t="str">
        <f t="shared" si="10"/>
        <v/>
      </c>
      <c r="Y14" s="186" t="str">
        <f t="shared" si="11"/>
        <v/>
      </c>
      <c r="Z14" s="192"/>
      <c r="AA14" s="192"/>
      <c r="AB14" s="180" t="str">
        <f>IF('Top 10 Risks'!E17="","",'Top 10 Risks'!E17)</f>
        <v/>
      </c>
    </row>
    <row r="15" spans="1:28" ht="15" customHeight="1" x14ac:dyDescent="0.25">
      <c r="A15" s="179" t="str">
        <f>IF('Top 10 Risks'!D18="","",'Top 10 Risks'!C18)</f>
        <v/>
      </c>
      <c r="B15" s="180" t="str">
        <f>IF('Top 10 Risks'!D18="","",'Top 10 Risks'!D18)</f>
        <v/>
      </c>
      <c r="C15" s="192"/>
      <c r="D15" s="182" t="str">
        <f>IF('Top 10 Risks'!D18="","",IF('Top 10 Risks'!J18=1,0.05,IF('Top 10 Risks'!J18=2,0.2,IF('Top 10 Risks'!J18=3,0.4,IF('Top 10 Risks'!J18=4,0.7,IF('Top 10 Risks'!J18=5,0.95,""))))))</f>
        <v/>
      </c>
      <c r="E15" s="183" t="str">
        <f>IF('Top 10 Risks'!D18="","",IF('Top 10 Risks'!H18=1,MatrixImpact!I10/2,IF('Top 10 Risks'!H18=2,SQRT(MatrixImpact!I10*MatrixImpact!I11),IF('Top 10 Risks'!H18=3,SQRT(MatrixImpact!I11*MatrixImpact!I12),IF('Top 10 Risks'!H18=4,SQRT(MatrixImpact!I12*MatrixImpact!I13),IF('Top 10 Risks'!H18=5,MatrixImpact!I13*1.5,""))))))</f>
        <v/>
      </c>
      <c r="F15" s="184" t="str">
        <f t="shared" si="0"/>
        <v/>
      </c>
      <c r="G15" s="185" t="str">
        <f t="shared" si="1"/>
        <v/>
      </c>
      <c r="H15" s="179" t="str">
        <f>IF('Top 10 Risks'!D18="","",IF('Top 10 Risks'!K18=1,7,IF('Top 10 Risks'!K18=2,5,IF('Top 10 Risks'!K18=3,3,IF('Top 10 Risks'!K18=4,9,5)))))</f>
        <v/>
      </c>
      <c r="I15" s="56" t="str">
        <f>IF(H15="","",H15/Calibration!$C$21)</f>
        <v/>
      </c>
      <c r="J15" s="186" t="str">
        <f t="shared" si="2"/>
        <v/>
      </c>
      <c r="K15" s="187" t="str">
        <f t="shared" si="3"/>
        <v/>
      </c>
      <c r="L15" s="188" t="str">
        <f t="shared" si="4"/>
        <v/>
      </c>
      <c r="M15" s="189" t="str">
        <f>IF('Top 10 Risks'!D18="","",MIN(1,SUM('Risk Interaction Map'!E17:AI17)/MAX(1,COUNTA('Top 10 Risks'!D$9:D$39)-1)))</f>
        <v/>
      </c>
      <c r="N15" s="186" t="str">
        <f t="shared" si="5"/>
        <v/>
      </c>
      <c r="O15" s="186" t="str">
        <f t="shared" si="6"/>
        <v/>
      </c>
      <c r="P15" s="186" t="str">
        <f t="shared" si="12"/>
        <v/>
      </c>
      <c r="Q15" s="186" t="str">
        <f t="shared" si="13"/>
        <v/>
      </c>
      <c r="R15" s="56">
        <f>Coherence_Density!$D$16</f>
        <v>1.0199812770051111</v>
      </c>
      <c r="S15" s="56">
        <f>Coherence_Density!$D$18</f>
        <v>0.63375000000000004</v>
      </c>
      <c r="T15" s="190" t="str">
        <f t="shared" si="7"/>
        <v/>
      </c>
      <c r="U15" s="56" t="str">
        <f>IF(Q15="","",Calibration!$C$20+0.3*(1-Q15))</f>
        <v/>
      </c>
      <c r="V15" s="186" t="str">
        <f t="shared" si="8"/>
        <v/>
      </c>
      <c r="W15" s="186" t="str">
        <f t="shared" si="9"/>
        <v/>
      </c>
      <c r="X15" s="186" t="str">
        <f t="shared" si="10"/>
        <v/>
      </c>
      <c r="Y15" s="186" t="str">
        <f t="shared" si="11"/>
        <v/>
      </c>
      <c r="Z15" s="192"/>
      <c r="AA15" s="192"/>
      <c r="AB15" s="180" t="str">
        <f>IF('Top 10 Risks'!E18="","",'Top 10 Risks'!E18)</f>
        <v/>
      </c>
    </row>
    <row r="16" spans="1:28" ht="15" customHeight="1" x14ac:dyDescent="0.25">
      <c r="A16" s="179" t="str">
        <f>IF('Top 10 Risks'!D19="","",'Top 10 Risks'!C19)</f>
        <v/>
      </c>
      <c r="B16" s="180" t="str">
        <f>IF('Top 10 Risks'!D19="","",'Top 10 Risks'!D19)</f>
        <v/>
      </c>
      <c r="C16" s="192"/>
      <c r="D16" s="182" t="str">
        <f>IF('Top 10 Risks'!D19="","",IF('Top 10 Risks'!J19=1,0.05,IF('Top 10 Risks'!J19=2,0.2,IF('Top 10 Risks'!J19=3,0.4,IF('Top 10 Risks'!J19=4,0.7,IF('Top 10 Risks'!J19=5,0.95,""))))))</f>
        <v/>
      </c>
      <c r="E16" s="183" t="str">
        <f>IF('Top 10 Risks'!D19="","",IF('Top 10 Risks'!H19=1,MatrixImpact!I10/2,IF('Top 10 Risks'!H19=2,SQRT(MatrixImpact!I10*MatrixImpact!I11),IF('Top 10 Risks'!H19=3,SQRT(MatrixImpact!I11*MatrixImpact!I12),IF('Top 10 Risks'!H19=4,SQRT(MatrixImpact!I12*MatrixImpact!I13),IF('Top 10 Risks'!H19=5,MatrixImpact!I13*1.5,""))))))</f>
        <v/>
      </c>
      <c r="F16" s="184" t="str">
        <f t="shared" si="0"/>
        <v/>
      </c>
      <c r="G16" s="185" t="str">
        <f t="shared" si="1"/>
        <v/>
      </c>
      <c r="H16" s="179" t="str">
        <f>IF('Top 10 Risks'!D19="","",IF('Top 10 Risks'!K19=1,7,IF('Top 10 Risks'!K19=2,5,IF('Top 10 Risks'!K19=3,3,IF('Top 10 Risks'!K19=4,9,5)))))</f>
        <v/>
      </c>
      <c r="I16" s="56" t="str">
        <f>IF(H16="","",H16/Calibration!$C$21)</f>
        <v/>
      </c>
      <c r="J16" s="186" t="str">
        <f t="shared" si="2"/>
        <v/>
      </c>
      <c r="K16" s="187" t="str">
        <f t="shared" si="3"/>
        <v/>
      </c>
      <c r="L16" s="188" t="str">
        <f t="shared" si="4"/>
        <v/>
      </c>
      <c r="M16" s="189" t="str">
        <f>IF('Top 10 Risks'!D19="","",MIN(1,SUM('Risk Interaction Map'!E18:AI18)/MAX(1,COUNTA('Top 10 Risks'!D$9:D$39)-1)))</f>
        <v/>
      </c>
      <c r="N16" s="186" t="str">
        <f t="shared" si="5"/>
        <v/>
      </c>
      <c r="O16" s="186" t="str">
        <f t="shared" si="6"/>
        <v/>
      </c>
      <c r="P16" s="186" t="str">
        <f t="shared" si="12"/>
        <v/>
      </c>
      <c r="Q16" s="186" t="str">
        <f t="shared" si="13"/>
        <v/>
      </c>
      <c r="R16" s="56">
        <f>Coherence_Density!$D$16</f>
        <v>1.0199812770051111</v>
      </c>
      <c r="S16" s="56">
        <f>Coherence_Density!$D$18</f>
        <v>0.63375000000000004</v>
      </c>
      <c r="T16" s="190" t="str">
        <f t="shared" si="7"/>
        <v/>
      </c>
      <c r="U16" s="56" t="str">
        <f>IF(Q16="","",Calibration!$C$20+0.3*(1-Q16))</f>
        <v/>
      </c>
      <c r="V16" s="186" t="str">
        <f t="shared" si="8"/>
        <v/>
      </c>
      <c r="W16" s="186" t="str">
        <f t="shared" si="9"/>
        <v/>
      </c>
      <c r="X16" s="186" t="str">
        <f t="shared" si="10"/>
        <v/>
      </c>
      <c r="Y16" s="186" t="str">
        <f t="shared" si="11"/>
        <v/>
      </c>
      <c r="Z16" s="192"/>
      <c r="AA16" s="192"/>
      <c r="AB16" s="180" t="str">
        <f>IF('Top 10 Risks'!E19="","",'Top 10 Risks'!E19)</f>
        <v/>
      </c>
    </row>
    <row r="17" spans="1:28" ht="15" customHeight="1" x14ac:dyDescent="0.25">
      <c r="A17" s="179" t="str">
        <f>IF('Top 10 Risks'!D20="","",'Top 10 Risks'!C20)</f>
        <v/>
      </c>
      <c r="B17" s="180" t="str">
        <f>IF('Top 10 Risks'!D20="","",'Top 10 Risks'!D20)</f>
        <v/>
      </c>
      <c r="C17" s="192"/>
      <c r="D17" s="182" t="str">
        <f>IF('Top 10 Risks'!D20="","",IF('Top 10 Risks'!J20=1,0.05,IF('Top 10 Risks'!J20=2,0.2,IF('Top 10 Risks'!J20=3,0.4,IF('Top 10 Risks'!J20=4,0.7,IF('Top 10 Risks'!J20=5,0.95,""))))))</f>
        <v/>
      </c>
      <c r="E17" s="183" t="str">
        <f>IF('Top 10 Risks'!D20="","",IF('Top 10 Risks'!H20=1,MatrixImpact!I10/2,IF('Top 10 Risks'!H20=2,SQRT(MatrixImpact!I10*MatrixImpact!I11),IF('Top 10 Risks'!H20=3,SQRT(MatrixImpact!I11*MatrixImpact!I12),IF('Top 10 Risks'!H20=4,SQRT(MatrixImpact!I12*MatrixImpact!I13),IF('Top 10 Risks'!H20=5,MatrixImpact!I13*1.5,""))))))</f>
        <v/>
      </c>
      <c r="F17" s="184" t="str">
        <f t="shared" si="0"/>
        <v/>
      </c>
      <c r="G17" s="185" t="str">
        <f t="shared" si="1"/>
        <v/>
      </c>
      <c r="H17" s="179" t="str">
        <f>IF('Top 10 Risks'!D20="","",IF('Top 10 Risks'!K20=1,7,IF('Top 10 Risks'!K20=2,5,IF('Top 10 Risks'!K20=3,3,IF('Top 10 Risks'!K20=4,9,5)))))</f>
        <v/>
      </c>
      <c r="I17" s="56" t="str">
        <f>IF(H17="","",H17/Calibration!$C$21)</f>
        <v/>
      </c>
      <c r="J17" s="186" t="str">
        <f t="shared" si="2"/>
        <v/>
      </c>
      <c r="K17" s="187" t="str">
        <f t="shared" si="3"/>
        <v/>
      </c>
      <c r="L17" s="188" t="str">
        <f t="shared" si="4"/>
        <v/>
      </c>
      <c r="M17" s="189" t="str">
        <f>IF('Top 10 Risks'!D20="","",MIN(1,SUM('Risk Interaction Map'!E19:AI19)/MAX(1,COUNTA('Top 10 Risks'!D$9:D$39)-1)))</f>
        <v/>
      </c>
      <c r="N17" s="186" t="str">
        <f t="shared" si="5"/>
        <v/>
      </c>
      <c r="O17" s="186" t="str">
        <f t="shared" si="6"/>
        <v/>
      </c>
      <c r="P17" s="186" t="str">
        <f t="shared" si="12"/>
        <v/>
      </c>
      <c r="Q17" s="186" t="str">
        <f t="shared" si="13"/>
        <v/>
      </c>
      <c r="R17" s="56">
        <f>Coherence_Density!$D$16</f>
        <v>1.0199812770051111</v>
      </c>
      <c r="S17" s="56">
        <f>Coherence_Density!$D$18</f>
        <v>0.63375000000000004</v>
      </c>
      <c r="T17" s="190" t="str">
        <f t="shared" si="7"/>
        <v/>
      </c>
      <c r="U17" s="56" t="str">
        <f>IF(Q17="","",Calibration!$C$20+0.3*(1-Q17))</f>
        <v/>
      </c>
      <c r="V17" s="186" t="str">
        <f t="shared" si="8"/>
        <v/>
      </c>
      <c r="W17" s="186" t="str">
        <f t="shared" si="9"/>
        <v/>
      </c>
      <c r="X17" s="186" t="str">
        <f t="shared" si="10"/>
        <v/>
      </c>
      <c r="Y17" s="186" t="str">
        <f t="shared" si="11"/>
        <v/>
      </c>
      <c r="Z17" s="192"/>
      <c r="AA17" s="192"/>
      <c r="AB17" s="180" t="str">
        <f>IF('Top 10 Risks'!E20="","",'Top 10 Risks'!E20)</f>
        <v/>
      </c>
    </row>
    <row r="18" spans="1:28" ht="15" customHeight="1" x14ac:dyDescent="0.25">
      <c r="A18" s="179" t="str">
        <f>IF('Top 10 Risks'!D21="","",'Top 10 Risks'!C21)</f>
        <v/>
      </c>
      <c r="B18" s="180" t="str">
        <f>IF('Top 10 Risks'!D21="","",'Top 10 Risks'!D21)</f>
        <v/>
      </c>
      <c r="C18" s="192"/>
      <c r="D18" s="182" t="str">
        <f>IF('Top 10 Risks'!D21="","",IF('Top 10 Risks'!J21=1,0.05,IF('Top 10 Risks'!J21=2,0.2,IF('Top 10 Risks'!J21=3,0.4,IF('Top 10 Risks'!J21=4,0.7,IF('Top 10 Risks'!J21=5,0.95,""))))))</f>
        <v/>
      </c>
      <c r="E18" s="183" t="str">
        <f>IF('Top 10 Risks'!D21="","",IF('Top 10 Risks'!H21=1,MatrixImpact!I10/2,IF('Top 10 Risks'!H21=2,SQRT(MatrixImpact!I10*MatrixImpact!I11),IF('Top 10 Risks'!H21=3,SQRT(MatrixImpact!I11*MatrixImpact!I12),IF('Top 10 Risks'!H21=4,SQRT(MatrixImpact!I12*MatrixImpact!I13),IF('Top 10 Risks'!H21=5,MatrixImpact!I13*1.5,""))))))</f>
        <v/>
      </c>
      <c r="F18" s="184" t="str">
        <f t="shared" si="0"/>
        <v/>
      </c>
      <c r="G18" s="185" t="str">
        <f t="shared" si="1"/>
        <v/>
      </c>
      <c r="H18" s="179" t="str">
        <f>IF('Top 10 Risks'!D21="","",IF('Top 10 Risks'!K21=1,7,IF('Top 10 Risks'!K21=2,5,IF('Top 10 Risks'!K21=3,3,IF('Top 10 Risks'!K21=4,9,5)))))</f>
        <v/>
      </c>
      <c r="I18" s="56" t="str">
        <f>IF(H18="","",H18/Calibration!$C$21)</f>
        <v/>
      </c>
      <c r="J18" s="186" t="str">
        <f t="shared" si="2"/>
        <v/>
      </c>
      <c r="K18" s="187" t="str">
        <f t="shared" si="3"/>
        <v/>
      </c>
      <c r="L18" s="188" t="str">
        <f t="shared" si="4"/>
        <v/>
      </c>
      <c r="M18" s="189" t="str">
        <f>IF('Top 10 Risks'!D21="","",MIN(1,SUM('Risk Interaction Map'!E20:AI20)/MAX(1,COUNTA('Top 10 Risks'!D$9:D$39)-1)))</f>
        <v/>
      </c>
      <c r="N18" s="186" t="str">
        <f t="shared" si="5"/>
        <v/>
      </c>
      <c r="O18" s="186" t="str">
        <f t="shared" si="6"/>
        <v/>
      </c>
      <c r="P18" s="186" t="str">
        <f t="shared" si="12"/>
        <v/>
      </c>
      <c r="Q18" s="186" t="str">
        <f t="shared" si="13"/>
        <v/>
      </c>
      <c r="R18" s="56">
        <f>Coherence_Density!$D$16</f>
        <v>1.0199812770051111</v>
      </c>
      <c r="S18" s="56">
        <f>Coherence_Density!$D$18</f>
        <v>0.63375000000000004</v>
      </c>
      <c r="T18" s="190" t="str">
        <f t="shared" si="7"/>
        <v/>
      </c>
      <c r="U18" s="56" t="str">
        <f>IF(Q18="","",Calibration!$C$20+0.3*(1-Q18))</f>
        <v/>
      </c>
      <c r="V18" s="186" t="str">
        <f t="shared" si="8"/>
        <v/>
      </c>
      <c r="W18" s="186" t="str">
        <f t="shared" si="9"/>
        <v/>
      </c>
      <c r="X18" s="186" t="str">
        <f t="shared" si="10"/>
        <v/>
      </c>
      <c r="Y18" s="186" t="str">
        <f t="shared" si="11"/>
        <v/>
      </c>
      <c r="Z18" s="192"/>
      <c r="AA18" s="192"/>
      <c r="AB18" s="180" t="str">
        <f>IF('Top 10 Risks'!E21="","",'Top 10 Risks'!E21)</f>
        <v/>
      </c>
    </row>
    <row r="19" spans="1:28" ht="15" customHeight="1" x14ac:dyDescent="0.25">
      <c r="A19" s="179" t="str">
        <f>IF('Top 10 Risks'!D22="","",'Top 10 Risks'!C22)</f>
        <v/>
      </c>
      <c r="B19" s="180" t="str">
        <f>IF('Top 10 Risks'!D22="","",'Top 10 Risks'!D22)</f>
        <v/>
      </c>
      <c r="C19" s="192"/>
      <c r="D19" s="182" t="str">
        <f>IF('Top 10 Risks'!D22="","",IF('Top 10 Risks'!J22=1,0.05,IF('Top 10 Risks'!J22=2,0.2,IF('Top 10 Risks'!J22=3,0.4,IF('Top 10 Risks'!J22=4,0.7,IF('Top 10 Risks'!J22=5,0.95,""))))))</f>
        <v/>
      </c>
      <c r="E19" s="183" t="str">
        <f>IF('Top 10 Risks'!D22="","",IF('Top 10 Risks'!H22=1,MatrixImpact!I10/2,IF('Top 10 Risks'!H22=2,SQRT(MatrixImpact!I10*MatrixImpact!I11),IF('Top 10 Risks'!H22=3,SQRT(MatrixImpact!I11*MatrixImpact!I12),IF('Top 10 Risks'!H22=4,SQRT(MatrixImpact!I12*MatrixImpact!I13),IF('Top 10 Risks'!H22=5,MatrixImpact!I13*1.5,""))))))</f>
        <v/>
      </c>
      <c r="F19" s="184" t="str">
        <f t="shared" si="0"/>
        <v/>
      </c>
      <c r="G19" s="185" t="str">
        <f t="shared" si="1"/>
        <v/>
      </c>
      <c r="H19" s="179" t="str">
        <f>IF('Top 10 Risks'!D22="","",IF('Top 10 Risks'!K22=1,7,IF('Top 10 Risks'!K22=2,5,IF('Top 10 Risks'!K22=3,3,IF('Top 10 Risks'!K22=4,9,5)))))</f>
        <v/>
      </c>
      <c r="I19" s="56" t="str">
        <f>IF(H19="","",H19/Calibration!$C$21)</f>
        <v/>
      </c>
      <c r="J19" s="186" t="str">
        <f t="shared" si="2"/>
        <v/>
      </c>
      <c r="K19" s="187" t="str">
        <f t="shared" si="3"/>
        <v/>
      </c>
      <c r="L19" s="188" t="str">
        <f t="shared" si="4"/>
        <v/>
      </c>
      <c r="M19" s="189" t="str">
        <f>IF('Top 10 Risks'!D22="","",MIN(1,SUM('Risk Interaction Map'!E21:AI21)/MAX(1,COUNTA('Top 10 Risks'!D$9:D$39)-1)))</f>
        <v/>
      </c>
      <c r="N19" s="186" t="str">
        <f t="shared" si="5"/>
        <v/>
      </c>
      <c r="O19" s="186" t="str">
        <f t="shared" si="6"/>
        <v/>
      </c>
      <c r="P19" s="186" t="str">
        <f t="shared" si="12"/>
        <v/>
      </c>
      <c r="Q19" s="186" t="str">
        <f t="shared" si="13"/>
        <v/>
      </c>
      <c r="R19" s="56">
        <f>Coherence_Density!$D$16</f>
        <v>1.0199812770051111</v>
      </c>
      <c r="S19" s="56">
        <f>Coherence_Density!$D$18</f>
        <v>0.63375000000000004</v>
      </c>
      <c r="T19" s="190" t="str">
        <f t="shared" si="7"/>
        <v/>
      </c>
      <c r="U19" s="56" t="str">
        <f>IF(Q19="","",Calibration!$C$20+0.3*(1-Q19))</f>
        <v/>
      </c>
      <c r="V19" s="186" t="str">
        <f t="shared" si="8"/>
        <v/>
      </c>
      <c r="W19" s="186" t="str">
        <f t="shared" si="9"/>
        <v/>
      </c>
      <c r="X19" s="186" t="str">
        <f t="shared" si="10"/>
        <v/>
      </c>
      <c r="Y19" s="186" t="str">
        <f t="shared" si="11"/>
        <v/>
      </c>
      <c r="Z19" s="192"/>
      <c r="AA19" s="192"/>
      <c r="AB19" s="180" t="str">
        <f>IF('Top 10 Risks'!E22="","",'Top 10 Risks'!E22)</f>
        <v/>
      </c>
    </row>
    <row r="20" spans="1:28" ht="15" customHeight="1" x14ac:dyDescent="0.25">
      <c r="A20" s="179" t="str">
        <f>IF('Top 10 Risks'!D23="","",'Top 10 Risks'!C23)</f>
        <v/>
      </c>
      <c r="B20" s="180" t="str">
        <f>IF('Top 10 Risks'!D23="","",'Top 10 Risks'!D23)</f>
        <v/>
      </c>
      <c r="C20" s="192"/>
      <c r="D20" s="182" t="str">
        <f>IF('Top 10 Risks'!D23="","",IF('Top 10 Risks'!J23=1,0.05,IF('Top 10 Risks'!J23=2,0.2,IF('Top 10 Risks'!J23=3,0.4,IF('Top 10 Risks'!J23=4,0.7,IF('Top 10 Risks'!J23=5,0.95,""))))))</f>
        <v/>
      </c>
      <c r="E20" s="183" t="str">
        <f>IF('Top 10 Risks'!D23="","",IF('Top 10 Risks'!H23=1,MatrixImpact!I10/2,IF('Top 10 Risks'!H23=2,SQRT(MatrixImpact!I10*MatrixImpact!I11),IF('Top 10 Risks'!H23=3,SQRT(MatrixImpact!I11*MatrixImpact!I12),IF('Top 10 Risks'!H23=4,SQRT(MatrixImpact!I12*MatrixImpact!I13),IF('Top 10 Risks'!H23=5,MatrixImpact!I13*1.5,""))))))</f>
        <v/>
      </c>
      <c r="F20" s="184" t="str">
        <f t="shared" si="0"/>
        <v/>
      </c>
      <c r="G20" s="185" t="str">
        <f t="shared" si="1"/>
        <v/>
      </c>
      <c r="H20" s="179" t="str">
        <f>IF('Top 10 Risks'!D23="","",IF('Top 10 Risks'!K23=1,7,IF('Top 10 Risks'!K23=2,5,IF('Top 10 Risks'!K23=3,3,IF('Top 10 Risks'!K23=4,9,5)))))</f>
        <v/>
      </c>
      <c r="I20" s="56" t="str">
        <f>IF(H20="","",H20/Calibration!$C$21)</f>
        <v/>
      </c>
      <c r="J20" s="186" t="str">
        <f t="shared" si="2"/>
        <v/>
      </c>
      <c r="K20" s="187" t="str">
        <f t="shared" si="3"/>
        <v/>
      </c>
      <c r="L20" s="188" t="str">
        <f t="shared" si="4"/>
        <v/>
      </c>
      <c r="M20" s="189" t="str">
        <f>IF('Top 10 Risks'!D23="","",MIN(1,SUM('Risk Interaction Map'!E22:AI22)/MAX(1,COUNTA('Top 10 Risks'!D$9:D$39)-1)))</f>
        <v/>
      </c>
      <c r="N20" s="186" t="str">
        <f t="shared" si="5"/>
        <v/>
      </c>
      <c r="O20" s="186" t="str">
        <f t="shared" si="6"/>
        <v/>
      </c>
      <c r="P20" s="186" t="str">
        <f t="shared" si="12"/>
        <v/>
      </c>
      <c r="Q20" s="186" t="str">
        <f t="shared" si="13"/>
        <v/>
      </c>
      <c r="R20" s="56">
        <f>Coherence_Density!$D$16</f>
        <v>1.0199812770051111</v>
      </c>
      <c r="S20" s="56">
        <f>Coherence_Density!$D$18</f>
        <v>0.63375000000000004</v>
      </c>
      <c r="T20" s="190" t="str">
        <f t="shared" si="7"/>
        <v/>
      </c>
      <c r="U20" s="56" t="str">
        <f>IF(Q20="","",Calibration!$C$20+0.3*(1-Q20))</f>
        <v/>
      </c>
      <c r="V20" s="186" t="str">
        <f t="shared" si="8"/>
        <v/>
      </c>
      <c r="W20" s="186" t="str">
        <f t="shared" si="9"/>
        <v/>
      </c>
      <c r="X20" s="186" t="str">
        <f t="shared" si="10"/>
        <v/>
      </c>
      <c r="Y20" s="186" t="str">
        <f t="shared" si="11"/>
        <v/>
      </c>
      <c r="Z20" s="192"/>
      <c r="AA20" s="192"/>
      <c r="AB20" s="180" t="str">
        <f>IF('Top 10 Risks'!E23="","",'Top 10 Risks'!E23)</f>
        <v/>
      </c>
    </row>
    <row r="21" spans="1:28" ht="15" customHeight="1" x14ac:dyDescent="0.25">
      <c r="A21" s="179" t="str">
        <f>IF('Top 10 Risks'!D24="","",'Top 10 Risks'!C24)</f>
        <v/>
      </c>
      <c r="B21" s="180" t="str">
        <f>IF('Top 10 Risks'!D24="","",'Top 10 Risks'!D24)</f>
        <v/>
      </c>
      <c r="C21" s="192"/>
      <c r="D21" s="182" t="str">
        <f>IF('Top 10 Risks'!D24="","",IF('Top 10 Risks'!J24=1,0.05,IF('Top 10 Risks'!J24=2,0.2,IF('Top 10 Risks'!J24=3,0.4,IF('Top 10 Risks'!J24=4,0.7,IF('Top 10 Risks'!J24=5,0.95,""))))))</f>
        <v/>
      </c>
      <c r="E21" s="183" t="str">
        <f>IF('Top 10 Risks'!D24="","",IF('Top 10 Risks'!H24=1,MatrixImpact!I10/2,IF('Top 10 Risks'!H24=2,SQRT(MatrixImpact!I10*MatrixImpact!I11),IF('Top 10 Risks'!H24=3,SQRT(MatrixImpact!I11*MatrixImpact!I12),IF('Top 10 Risks'!H24=4,SQRT(MatrixImpact!I12*MatrixImpact!I13),IF('Top 10 Risks'!H24=5,MatrixImpact!I13*1.5,""))))))</f>
        <v/>
      </c>
      <c r="F21" s="184" t="str">
        <f t="shared" si="0"/>
        <v/>
      </c>
      <c r="G21" s="185" t="str">
        <f t="shared" si="1"/>
        <v/>
      </c>
      <c r="H21" s="179" t="str">
        <f>IF('Top 10 Risks'!D24="","",IF('Top 10 Risks'!K24=1,7,IF('Top 10 Risks'!K24=2,5,IF('Top 10 Risks'!K24=3,3,IF('Top 10 Risks'!K24=4,9,5)))))</f>
        <v/>
      </c>
      <c r="I21" s="56" t="str">
        <f>IF(H21="","",H21/Calibration!$C$21)</f>
        <v/>
      </c>
      <c r="J21" s="186" t="str">
        <f t="shared" si="2"/>
        <v/>
      </c>
      <c r="K21" s="187" t="str">
        <f t="shared" si="3"/>
        <v/>
      </c>
      <c r="L21" s="188" t="str">
        <f t="shared" si="4"/>
        <v/>
      </c>
      <c r="M21" s="189" t="str">
        <f>IF('Top 10 Risks'!D24="","",MIN(1,SUM('Risk Interaction Map'!E23:AI23)/MAX(1,COUNTA('Top 10 Risks'!D$9:D$39)-1)))</f>
        <v/>
      </c>
      <c r="N21" s="186" t="str">
        <f t="shared" si="5"/>
        <v/>
      </c>
      <c r="O21" s="186" t="str">
        <f t="shared" si="6"/>
        <v/>
      </c>
      <c r="P21" s="186" t="str">
        <f t="shared" si="12"/>
        <v/>
      </c>
      <c r="Q21" s="186" t="str">
        <f t="shared" si="13"/>
        <v/>
      </c>
      <c r="R21" s="56">
        <f>Coherence_Density!$D$16</f>
        <v>1.0199812770051111</v>
      </c>
      <c r="S21" s="56">
        <f>Coherence_Density!$D$18</f>
        <v>0.63375000000000004</v>
      </c>
      <c r="T21" s="190" t="str">
        <f t="shared" si="7"/>
        <v/>
      </c>
      <c r="U21" s="56" t="str">
        <f>IF(Q21="","",Calibration!$C$20+0.3*(1-Q21))</f>
        <v/>
      </c>
      <c r="V21" s="186" t="str">
        <f t="shared" si="8"/>
        <v/>
      </c>
      <c r="W21" s="186" t="str">
        <f t="shared" si="9"/>
        <v/>
      </c>
      <c r="X21" s="186" t="str">
        <f t="shared" si="10"/>
        <v/>
      </c>
      <c r="Y21" s="193" t="str">
        <f t="shared" si="11"/>
        <v/>
      </c>
      <c r="Z21" s="192"/>
      <c r="AA21" s="192"/>
      <c r="AB21" s="180" t="str">
        <f>IF('Top 10 Risks'!E24="","",'Top 10 Risks'!E24)</f>
        <v/>
      </c>
    </row>
    <row r="22" spans="1:28" ht="15" customHeight="1" x14ac:dyDescent="0.25">
      <c r="A22" s="179" t="str">
        <f>IF('Top 10 Risks'!D25="","",'Top 10 Risks'!C25)</f>
        <v/>
      </c>
      <c r="B22" s="180" t="str">
        <f>IF('Top 10 Risks'!D25="","",'Top 10 Risks'!D25)</f>
        <v/>
      </c>
      <c r="C22" s="192"/>
      <c r="D22" s="182" t="str">
        <f>IF('Top 10 Risks'!D25="","",IF('Top 10 Risks'!J25=1,0.05,IF('Top 10 Risks'!J25=2,0.2,IF('Top 10 Risks'!J25=3,0.4,IF('Top 10 Risks'!J25=4,0.7,IF('Top 10 Risks'!J25=5,0.95,""))))))</f>
        <v/>
      </c>
      <c r="E22" s="183" t="str">
        <f>IF('Top 10 Risks'!D25="","",IF('Top 10 Risks'!H25=1,MatrixImpact!I10/2,IF('Top 10 Risks'!H25=2,SQRT(MatrixImpact!I10*MatrixImpact!I11),IF('Top 10 Risks'!H25=3,SQRT(MatrixImpact!I11*MatrixImpact!I12),IF('Top 10 Risks'!H25=4,SQRT(MatrixImpact!I12*MatrixImpact!I13),IF('Top 10 Risks'!H25=5,MatrixImpact!I13*1.5,""))))))</f>
        <v/>
      </c>
      <c r="F22" s="184" t="str">
        <f t="shared" si="0"/>
        <v/>
      </c>
      <c r="G22" s="185" t="str">
        <f t="shared" si="1"/>
        <v/>
      </c>
      <c r="H22" s="179" t="str">
        <f>IF('Top 10 Risks'!D25="","",IF('Top 10 Risks'!K25=1,7,IF('Top 10 Risks'!K25=2,5,IF('Top 10 Risks'!K25=3,3,IF('Top 10 Risks'!K25=4,9,5)))))</f>
        <v/>
      </c>
      <c r="I22" s="56" t="str">
        <f>IF(H22="","",H22/Calibration!$C$21)</f>
        <v/>
      </c>
      <c r="J22" s="186" t="str">
        <f t="shared" si="2"/>
        <v/>
      </c>
      <c r="K22" s="187" t="str">
        <f t="shared" si="3"/>
        <v/>
      </c>
      <c r="L22" s="188" t="str">
        <f t="shared" si="4"/>
        <v/>
      </c>
      <c r="M22" s="189" t="str">
        <f>IF('Top 10 Risks'!D25="","",MIN(1,SUM('Risk Interaction Map'!E24:AI24)/MAX(1,COUNTA('Top 10 Risks'!D$9:D$39)-1)))</f>
        <v/>
      </c>
      <c r="N22" s="186" t="str">
        <f t="shared" si="5"/>
        <v/>
      </c>
      <c r="O22" s="186" t="str">
        <f t="shared" si="6"/>
        <v/>
      </c>
      <c r="P22" s="186" t="str">
        <f t="shared" si="12"/>
        <v/>
      </c>
      <c r="Q22" s="186" t="str">
        <f t="shared" si="13"/>
        <v/>
      </c>
      <c r="R22" s="56">
        <f>Coherence_Density!$D$16</f>
        <v>1.0199812770051111</v>
      </c>
      <c r="S22" s="56">
        <f>Coherence_Density!$D$18</f>
        <v>0.63375000000000004</v>
      </c>
      <c r="T22" s="190" t="str">
        <f t="shared" si="7"/>
        <v/>
      </c>
      <c r="U22" s="56" t="str">
        <f>IF(Q22="","",Calibration!$C$20+0.3*(1-Q22))</f>
        <v/>
      </c>
      <c r="V22" s="186" t="str">
        <f t="shared" si="8"/>
        <v/>
      </c>
      <c r="W22" s="186" t="str">
        <f t="shared" si="9"/>
        <v/>
      </c>
      <c r="X22" s="186" t="str">
        <f t="shared" si="10"/>
        <v/>
      </c>
      <c r="Y22" s="193" t="str">
        <f t="shared" si="11"/>
        <v/>
      </c>
      <c r="Z22" s="192"/>
      <c r="AA22" s="192"/>
      <c r="AB22" s="180" t="str">
        <f>IF('Top 10 Risks'!E25="","",'Top 10 Risks'!E25)</f>
        <v/>
      </c>
    </row>
    <row r="23" spans="1:28" ht="21.75" customHeight="1" x14ac:dyDescent="0.25">
      <c r="A23" s="179" t="str">
        <f>IF('Top 10 Risks'!D26="","",'Top 10 Risks'!C26)</f>
        <v/>
      </c>
      <c r="B23" s="180" t="str">
        <f>IF('Top 10 Risks'!D26="","",'Top 10 Risks'!D26)</f>
        <v/>
      </c>
      <c r="C23" s="192"/>
      <c r="D23" s="182" t="str">
        <f>IF('Top 10 Risks'!D26="","",IF('Top 10 Risks'!J26=1,0.05,IF('Top 10 Risks'!J26=2,0.2,IF('Top 10 Risks'!J26=3,0.4,IF('Top 10 Risks'!J26=4,0.7,IF('Top 10 Risks'!J26=5,0.95,""))))))</f>
        <v/>
      </c>
      <c r="E23" s="183" t="str">
        <f>IF('Top 10 Risks'!D26="","",IF('Top 10 Risks'!H26=1,MatrixImpact!I10/2,IF('Top 10 Risks'!H26=2,SQRT(MatrixImpact!I10*MatrixImpact!I11),IF('Top 10 Risks'!H26=3,SQRT(MatrixImpact!I11*MatrixImpact!I12),IF('Top 10 Risks'!H26=4,SQRT(MatrixImpact!I12*MatrixImpact!I13),IF('Top 10 Risks'!H26=5,MatrixImpact!I13*1.5,""))))))</f>
        <v/>
      </c>
      <c r="F23" s="184" t="str">
        <f t="shared" si="0"/>
        <v/>
      </c>
      <c r="G23" s="185" t="str">
        <f t="shared" si="1"/>
        <v/>
      </c>
      <c r="H23" s="179" t="str">
        <f>IF('Top 10 Risks'!D26="","",IF('Top 10 Risks'!K26=1,7,IF('Top 10 Risks'!K26=2,5,IF('Top 10 Risks'!K26=3,3,IF('Top 10 Risks'!K26=4,9,5)))))</f>
        <v/>
      </c>
      <c r="I23" s="56" t="str">
        <f>IF(H23="","",H23/Calibration!$C$21)</f>
        <v/>
      </c>
      <c r="J23" s="186" t="str">
        <f t="shared" si="2"/>
        <v/>
      </c>
      <c r="K23" s="187" t="str">
        <f t="shared" si="3"/>
        <v/>
      </c>
      <c r="L23" s="188" t="str">
        <f t="shared" si="4"/>
        <v/>
      </c>
      <c r="M23" s="189" t="str">
        <f>IF('Top 10 Risks'!D26="","",MIN(1,SUM('Risk Interaction Map'!E25:AI25)/MAX(1,COUNTA('Top 10 Risks'!D$9:D$39)-1)))</f>
        <v/>
      </c>
      <c r="N23" s="186" t="str">
        <f t="shared" si="5"/>
        <v/>
      </c>
      <c r="O23" s="186" t="str">
        <f t="shared" si="6"/>
        <v/>
      </c>
      <c r="P23" s="186" t="str">
        <f t="shared" si="12"/>
        <v/>
      </c>
      <c r="Q23" s="186" t="str">
        <f t="shared" si="13"/>
        <v/>
      </c>
      <c r="R23" s="56">
        <f>Coherence_Density!$D$16</f>
        <v>1.0199812770051111</v>
      </c>
      <c r="S23" s="56">
        <f>Coherence_Density!$D$18</f>
        <v>0.63375000000000004</v>
      </c>
      <c r="T23" s="190" t="str">
        <f t="shared" si="7"/>
        <v/>
      </c>
      <c r="U23" s="56" t="str">
        <f>IF(Q23="","",Calibration!$C$20+0.3*(1-Q23))</f>
        <v/>
      </c>
      <c r="V23" s="186" t="str">
        <f t="shared" si="8"/>
        <v/>
      </c>
      <c r="W23" s="186" t="str">
        <f t="shared" si="9"/>
        <v/>
      </c>
      <c r="X23" s="186" t="str">
        <f t="shared" si="10"/>
        <v/>
      </c>
      <c r="Y23" s="193" t="str">
        <f t="shared" si="11"/>
        <v/>
      </c>
      <c r="Z23" s="192"/>
      <c r="AA23" s="192"/>
      <c r="AB23" s="180" t="str">
        <f>IF('Top 10 Risks'!E26="","",'Top 10 Risks'!E26)</f>
        <v/>
      </c>
    </row>
    <row r="24" spans="1:28" ht="18" customHeight="1" x14ac:dyDescent="0.25">
      <c r="A24" s="179" t="str">
        <f>IF('Top 10 Risks'!D27="","",'Top 10 Risks'!C27)</f>
        <v/>
      </c>
      <c r="B24" s="180" t="str">
        <f>IF('Top 10 Risks'!D27="","",'Top 10 Risks'!D27)</f>
        <v/>
      </c>
      <c r="C24" s="192"/>
      <c r="D24" s="182" t="str">
        <f>IF('Top 10 Risks'!D27="","",IF('Top 10 Risks'!J27=1,0.05,IF('Top 10 Risks'!J27=2,0.2,IF('Top 10 Risks'!J27=3,0.4,IF('Top 10 Risks'!J27=4,0.7,IF('Top 10 Risks'!J27=5,0.95,""))))))</f>
        <v/>
      </c>
      <c r="E24" s="183" t="str">
        <f>IF('Top 10 Risks'!D27="","",IF('Top 10 Risks'!H27=1,MatrixImpact!I10/2,IF('Top 10 Risks'!H27=2,SQRT(MatrixImpact!I10*MatrixImpact!I11),IF('Top 10 Risks'!H27=3,SQRT(MatrixImpact!I11*MatrixImpact!I12),IF('Top 10 Risks'!H27=4,SQRT(MatrixImpact!I12*MatrixImpact!I13),IF('Top 10 Risks'!H27=5,MatrixImpact!I13*1.5,""))))))</f>
        <v/>
      </c>
      <c r="F24" s="184" t="str">
        <f t="shared" si="0"/>
        <v/>
      </c>
      <c r="G24" s="185" t="str">
        <f t="shared" si="1"/>
        <v/>
      </c>
      <c r="H24" s="179" t="str">
        <f>IF('Top 10 Risks'!D27="","",IF('Top 10 Risks'!K27=1,7,IF('Top 10 Risks'!K27=2,5,IF('Top 10 Risks'!K27=3,3,IF('Top 10 Risks'!K27=4,9,5)))))</f>
        <v/>
      </c>
      <c r="I24" s="56" t="str">
        <f>IF(H24="","",H24/Calibration!$C$21)</f>
        <v/>
      </c>
      <c r="J24" s="186" t="str">
        <f t="shared" si="2"/>
        <v/>
      </c>
      <c r="K24" s="187" t="str">
        <f t="shared" si="3"/>
        <v/>
      </c>
      <c r="L24" s="188" t="str">
        <f t="shared" si="4"/>
        <v/>
      </c>
      <c r="M24" s="189" t="str">
        <f>IF('Top 10 Risks'!D27="","",MIN(1,SUM('Risk Interaction Map'!E26:AI26)/MAX(1,COUNTA('Top 10 Risks'!D$9:D$39)-1)))</f>
        <v/>
      </c>
      <c r="N24" s="186" t="str">
        <f t="shared" si="5"/>
        <v/>
      </c>
      <c r="O24" s="186" t="str">
        <f t="shared" si="6"/>
        <v/>
      </c>
      <c r="P24" s="186" t="str">
        <f t="shared" si="12"/>
        <v/>
      </c>
      <c r="Q24" s="186" t="str">
        <f t="shared" si="13"/>
        <v/>
      </c>
      <c r="R24" s="56">
        <f>Coherence_Density!$D$16</f>
        <v>1.0199812770051111</v>
      </c>
      <c r="S24" s="56">
        <f>Coherence_Density!$D$18</f>
        <v>0.63375000000000004</v>
      </c>
      <c r="T24" s="190" t="str">
        <f t="shared" si="7"/>
        <v/>
      </c>
      <c r="U24" s="56" t="str">
        <f>IF(Q24="","",Calibration!$C$20+0.3*(1-Q24))</f>
        <v/>
      </c>
      <c r="V24" s="186" t="str">
        <f t="shared" si="8"/>
        <v/>
      </c>
      <c r="W24" s="186" t="str">
        <f t="shared" si="9"/>
        <v/>
      </c>
      <c r="X24" s="186" t="str">
        <f t="shared" si="10"/>
        <v/>
      </c>
      <c r="Y24" s="193" t="str">
        <f t="shared" si="11"/>
        <v/>
      </c>
      <c r="Z24" s="192"/>
      <c r="AA24" s="192"/>
      <c r="AB24" s="180" t="str">
        <f>IF('Top 10 Risks'!E27="","",'Top 10 Risks'!E27)</f>
        <v/>
      </c>
    </row>
    <row r="25" spans="1:28" ht="18" customHeight="1" x14ac:dyDescent="0.25">
      <c r="A25" s="179" t="str">
        <f>IF('Top 10 Risks'!D28="","",'Top 10 Risks'!C28)</f>
        <v/>
      </c>
      <c r="B25" s="180" t="str">
        <f>IF('Top 10 Risks'!D28="","",'Top 10 Risks'!D28)</f>
        <v/>
      </c>
      <c r="C25" s="192"/>
      <c r="D25" s="182" t="str">
        <f>IF('Top 10 Risks'!D28="","",IF('Top 10 Risks'!J28=1,0.05,IF('Top 10 Risks'!J28=2,0.2,IF('Top 10 Risks'!J28=3,0.4,IF('Top 10 Risks'!J28=4,0.7,IF('Top 10 Risks'!J28=5,0.95,""))))))</f>
        <v/>
      </c>
      <c r="E25" s="183" t="str">
        <f>IF('Top 10 Risks'!D28="","",IF('Top 10 Risks'!H28=1,MatrixImpact!I10/2,IF('Top 10 Risks'!H28=2,SQRT(MatrixImpact!I10*MatrixImpact!I11),IF('Top 10 Risks'!H28=3,SQRT(MatrixImpact!I11*MatrixImpact!I12),IF('Top 10 Risks'!H28=4,SQRT(MatrixImpact!I12*MatrixImpact!I13),IF('Top 10 Risks'!H28=5,MatrixImpact!I13*1.5,""))))))</f>
        <v/>
      </c>
      <c r="F25" s="184" t="str">
        <f t="shared" si="0"/>
        <v/>
      </c>
      <c r="G25" s="185" t="str">
        <f t="shared" si="1"/>
        <v/>
      </c>
      <c r="H25" s="179" t="str">
        <f>IF('Top 10 Risks'!D28="","",IF('Top 10 Risks'!K28=1,7,IF('Top 10 Risks'!K28=2,5,IF('Top 10 Risks'!K28=3,3,IF('Top 10 Risks'!K28=4,9,5)))))</f>
        <v/>
      </c>
      <c r="I25" s="56" t="str">
        <f>IF(H25="","",H25/Calibration!$C$21)</f>
        <v/>
      </c>
      <c r="J25" s="186" t="str">
        <f t="shared" si="2"/>
        <v/>
      </c>
      <c r="K25" s="187" t="str">
        <f t="shared" si="3"/>
        <v/>
      </c>
      <c r="L25" s="188" t="str">
        <f t="shared" si="4"/>
        <v/>
      </c>
      <c r="M25" s="189" t="str">
        <f>IF('Top 10 Risks'!D28="","",MIN(1,SUM('Risk Interaction Map'!E27:AI27)/MAX(1,COUNTA('Top 10 Risks'!D$9:D$39)-1)))</f>
        <v/>
      </c>
      <c r="N25" s="186" t="str">
        <f t="shared" si="5"/>
        <v/>
      </c>
      <c r="O25" s="186" t="str">
        <f t="shared" si="6"/>
        <v/>
      </c>
      <c r="P25" s="186" t="str">
        <f t="shared" si="12"/>
        <v/>
      </c>
      <c r="Q25" s="186" t="str">
        <f t="shared" si="13"/>
        <v/>
      </c>
      <c r="R25" s="56">
        <f>Coherence_Density!$D$16</f>
        <v>1.0199812770051111</v>
      </c>
      <c r="S25" s="56">
        <f>Coherence_Density!$D$18</f>
        <v>0.63375000000000004</v>
      </c>
      <c r="T25" s="190" t="str">
        <f t="shared" si="7"/>
        <v/>
      </c>
      <c r="U25" s="56" t="str">
        <f>IF(Q25="","",Calibration!$C$20+0.3*(1-Q25))</f>
        <v/>
      </c>
      <c r="V25" s="186" t="str">
        <f t="shared" si="8"/>
        <v/>
      </c>
      <c r="W25" s="186" t="str">
        <f t="shared" si="9"/>
        <v/>
      </c>
      <c r="X25" s="186" t="str">
        <f t="shared" si="10"/>
        <v/>
      </c>
      <c r="Y25" s="193" t="str">
        <f t="shared" si="11"/>
        <v/>
      </c>
      <c r="Z25" s="192"/>
      <c r="AA25" s="192"/>
      <c r="AB25" s="180" t="str">
        <f>IF('Top 10 Risks'!E28="","",'Top 10 Risks'!E28)</f>
        <v/>
      </c>
    </row>
    <row r="26" spans="1:28" ht="18" customHeight="1" x14ac:dyDescent="0.25">
      <c r="A26" s="179" t="str">
        <f>IF('Top 10 Risks'!D29="","",'Top 10 Risks'!C29)</f>
        <v/>
      </c>
      <c r="B26" s="180" t="str">
        <f>IF('Top 10 Risks'!D29="","",'Top 10 Risks'!D29)</f>
        <v/>
      </c>
      <c r="C26" s="192"/>
      <c r="D26" s="182" t="str">
        <f>IF('Top 10 Risks'!D29="","",IF('Top 10 Risks'!J29=1,0.05,IF('Top 10 Risks'!J29=2,0.2,IF('Top 10 Risks'!J29=3,0.4,IF('Top 10 Risks'!J29=4,0.7,IF('Top 10 Risks'!J29=5,0.95,""))))))</f>
        <v/>
      </c>
      <c r="E26" s="183" t="str">
        <f>IF('Top 10 Risks'!D29="","",IF('Top 10 Risks'!H29=1,MatrixImpact!I10/2,IF('Top 10 Risks'!H29=2,SQRT(MatrixImpact!I10*MatrixImpact!I11),IF('Top 10 Risks'!H29=3,SQRT(MatrixImpact!I11*MatrixImpact!I12),IF('Top 10 Risks'!H29=4,SQRT(MatrixImpact!I12*MatrixImpact!I13),IF('Top 10 Risks'!H29=5,MatrixImpact!I13*1.5,""))))))</f>
        <v/>
      </c>
      <c r="F26" s="184" t="str">
        <f t="shared" si="0"/>
        <v/>
      </c>
      <c r="G26" s="185" t="str">
        <f t="shared" si="1"/>
        <v/>
      </c>
      <c r="H26" s="179" t="str">
        <f>IF('Top 10 Risks'!D29="","",IF('Top 10 Risks'!K29=1,7,IF('Top 10 Risks'!K29=2,5,IF('Top 10 Risks'!K29=3,3,IF('Top 10 Risks'!K29=4,9,5)))))</f>
        <v/>
      </c>
      <c r="I26" s="56" t="str">
        <f>IF(H26="","",H26/Calibration!$C$21)</f>
        <v/>
      </c>
      <c r="J26" s="186" t="str">
        <f t="shared" si="2"/>
        <v/>
      </c>
      <c r="K26" s="187" t="str">
        <f t="shared" si="3"/>
        <v/>
      </c>
      <c r="L26" s="188" t="str">
        <f t="shared" si="4"/>
        <v/>
      </c>
      <c r="M26" s="189" t="str">
        <f>IF('Top 10 Risks'!D29="","",MIN(1,SUM('Risk Interaction Map'!E28:AI28)/MAX(1,COUNTA('Top 10 Risks'!D$9:D$39)-1)))</f>
        <v/>
      </c>
      <c r="N26" s="186" t="str">
        <f t="shared" si="5"/>
        <v/>
      </c>
      <c r="O26" s="186" t="str">
        <f t="shared" si="6"/>
        <v/>
      </c>
      <c r="P26" s="186" t="str">
        <f t="shared" si="12"/>
        <v/>
      </c>
      <c r="Q26" s="186" t="str">
        <f t="shared" si="13"/>
        <v/>
      </c>
      <c r="R26" s="56">
        <f>Coherence_Density!$D$16</f>
        <v>1.0199812770051111</v>
      </c>
      <c r="S26" s="56">
        <f>Coherence_Density!$D$18</f>
        <v>0.63375000000000004</v>
      </c>
      <c r="T26" s="190" t="str">
        <f t="shared" si="7"/>
        <v/>
      </c>
      <c r="U26" s="56" t="str">
        <f>IF(Q26="","",Calibration!$C$20+0.3*(1-Q26))</f>
        <v/>
      </c>
      <c r="V26" s="186" t="str">
        <f t="shared" si="8"/>
        <v/>
      </c>
      <c r="W26" s="186" t="str">
        <f t="shared" si="9"/>
        <v/>
      </c>
      <c r="X26" s="186" t="str">
        <f t="shared" si="10"/>
        <v/>
      </c>
      <c r="Y26" s="193" t="str">
        <f t="shared" si="11"/>
        <v/>
      </c>
      <c r="Z26" s="192"/>
      <c r="AA26" s="192"/>
      <c r="AB26" s="180" t="str">
        <f>IF('Top 10 Risks'!E29="","",'Top 10 Risks'!E29)</f>
        <v/>
      </c>
    </row>
    <row r="27" spans="1:28" ht="18" customHeight="1" x14ac:dyDescent="0.25">
      <c r="A27" s="179" t="str">
        <f>IF('Top 10 Risks'!D30="","",'Top 10 Risks'!C30)</f>
        <v/>
      </c>
      <c r="B27" s="180" t="str">
        <f>IF('Top 10 Risks'!D30="","",'Top 10 Risks'!D30)</f>
        <v/>
      </c>
      <c r="C27" s="192"/>
      <c r="D27" s="182" t="str">
        <f>IF('Top 10 Risks'!D30="","",IF('Top 10 Risks'!J30=1,0.05,IF('Top 10 Risks'!J30=2,0.2,IF('Top 10 Risks'!J30=3,0.4,IF('Top 10 Risks'!J30=4,0.7,IF('Top 10 Risks'!J30=5,0.95,""))))))</f>
        <v/>
      </c>
      <c r="E27" s="183" t="str">
        <f>IF('Top 10 Risks'!D30="","",IF('Top 10 Risks'!H30=1,MatrixImpact!I10/2,IF('Top 10 Risks'!H30=2,SQRT(MatrixImpact!I10*MatrixImpact!I11),IF('Top 10 Risks'!H30=3,SQRT(MatrixImpact!I11*MatrixImpact!I12),IF('Top 10 Risks'!H30=4,SQRT(MatrixImpact!I12*MatrixImpact!I13),IF('Top 10 Risks'!H30=5,MatrixImpact!I13*1.5,""))))))</f>
        <v/>
      </c>
      <c r="F27" s="184" t="str">
        <f t="shared" si="0"/>
        <v/>
      </c>
      <c r="G27" s="185" t="str">
        <f t="shared" si="1"/>
        <v/>
      </c>
      <c r="H27" s="179" t="str">
        <f>IF('Top 10 Risks'!D30="","",IF('Top 10 Risks'!K30=1,7,IF('Top 10 Risks'!K30=2,5,IF('Top 10 Risks'!K30=3,3,IF('Top 10 Risks'!K30=4,9,5)))))</f>
        <v/>
      </c>
      <c r="I27" s="56" t="str">
        <f>IF(H27="","",H27/Calibration!$C$21)</f>
        <v/>
      </c>
      <c r="J27" s="186" t="str">
        <f t="shared" si="2"/>
        <v/>
      </c>
      <c r="K27" s="187" t="str">
        <f t="shared" si="3"/>
        <v/>
      </c>
      <c r="L27" s="188" t="str">
        <f t="shared" si="4"/>
        <v/>
      </c>
      <c r="M27" s="189" t="str">
        <f>IF('Top 10 Risks'!D30="","",MIN(1,SUM('Risk Interaction Map'!E29:AI29)/MAX(1,COUNTA('Top 10 Risks'!D$9:D$39)-1)))</f>
        <v/>
      </c>
      <c r="N27" s="186" t="str">
        <f t="shared" si="5"/>
        <v/>
      </c>
      <c r="O27" s="186" t="str">
        <f t="shared" si="6"/>
        <v/>
      </c>
      <c r="P27" s="186" t="str">
        <f t="shared" si="12"/>
        <v/>
      </c>
      <c r="Q27" s="186" t="str">
        <f t="shared" si="13"/>
        <v/>
      </c>
      <c r="R27" s="56">
        <f>Coherence_Density!$D$16</f>
        <v>1.0199812770051111</v>
      </c>
      <c r="S27" s="56">
        <f>Coherence_Density!$D$18</f>
        <v>0.63375000000000004</v>
      </c>
      <c r="T27" s="190" t="str">
        <f t="shared" si="7"/>
        <v/>
      </c>
      <c r="U27" s="56" t="str">
        <f>IF(Q27="","",Calibration!$C$20+0.3*(1-Q27))</f>
        <v/>
      </c>
      <c r="V27" s="186" t="str">
        <f t="shared" si="8"/>
        <v/>
      </c>
      <c r="W27" s="186" t="str">
        <f t="shared" si="9"/>
        <v/>
      </c>
      <c r="X27" s="186" t="str">
        <f t="shared" si="10"/>
        <v/>
      </c>
      <c r="Y27" s="193" t="str">
        <f t="shared" si="11"/>
        <v/>
      </c>
      <c r="Z27" s="192"/>
      <c r="AA27" s="192"/>
      <c r="AB27" s="180" t="str">
        <f>IF('Top 10 Risks'!E30="","",'Top 10 Risks'!E30)</f>
        <v/>
      </c>
    </row>
    <row r="28" spans="1:28" ht="18" customHeight="1" x14ac:dyDescent="0.25">
      <c r="A28" s="179" t="str">
        <f>IF('Top 10 Risks'!D31="","",'Top 10 Risks'!C31)</f>
        <v/>
      </c>
      <c r="B28" s="180" t="str">
        <f>IF('Top 10 Risks'!D31="","",'Top 10 Risks'!D31)</f>
        <v/>
      </c>
      <c r="C28" s="192"/>
      <c r="D28" s="182" t="str">
        <f>IF('Top 10 Risks'!D31="","",IF('Top 10 Risks'!J31=1,0.05,IF('Top 10 Risks'!J31=2,0.2,IF('Top 10 Risks'!J31=3,0.4,IF('Top 10 Risks'!J31=4,0.7,IF('Top 10 Risks'!J31=5,0.95,""))))))</f>
        <v/>
      </c>
      <c r="E28" s="183" t="str">
        <f>IF('Top 10 Risks'!D31="","",IF('Top 10 Risks'!H31=1,MatrixImpact!I10/2,IF('Top 10 Risks'!H31=2,SQRT(MatrixImpact!I10*MatrixImpact!I11),IF('Top 10 Risks'!H31=3,SQRT(MatrixImpact!I11*MatrixImpact!I12),IF('Top 10 Risks'!H31=4,SQRT(MatrixImpact!I12*MatrixImpact!I13),IF('Top 10 Risks'!H31=5,MatrixImpact!I13*1.5,""))))))</f>
        <v/>
      </c>
      <c r="F28" s="184" t="str">
        <f t="shared" si="0"/>
        <v/>
      </c>
      <c r="G28" s="185" t="str">
        <f t="shared" si="1"/>
        <v/>
      </c>
      <c r="H28" s="179" t="str">
        <f>IF('Top 10 Risks'!D31="","",IF('Top 10 Risks'!K31=1,7,IF('Top 10 Risks'!K31=2,5,IF('Top 10 Risks'!K31=3,3,IF('Top 10 Risks'!K31=4,9,5)))))</f>
        <v/>
      </c>
      <c r="I28" s="56" t="str">
        <f>IF(H28="","",H28/Calibration!$C$21)</f>
        <v/>
      </c>
      <c r="J28" s="186" t="str">
        <f t="shared" si="2"/>
        <v/>
      </c>
      <c r="K28" s="187" t="str">
        <f t="shared" si="3"/>
        <v/>
      </c>
      <c r="L28" s="188" t="str">
        <f t="shared" si="4"/>
        <v/>
      </c>
      <c r="M28" s="189" t="str">
        <f>IF('Top 10 Risks'!D31="","",MIN(1,SUM('Risk Interaction Map'!E30:AI30)/MAX(1,COUNTA('Top 10 Risks'!D$9:D$39)-1)))</f>
        <v/>
      </c>
      <c r="N28" s="186" t="str">
        <f t="shared" si="5"/>
        <v/>
      </c>
      <c r="O28" s="186" t="str">
        <f t="shared" si="6"/>
        <v/>
      </c>
      <c r="P28" s="186" t="str">
        <f t="shared" si="12"/>
        <v/>
      </c>
      <c r="Q28" s="186" t="str">
        <f t="shared" si="13"/>
        <v/>
      </c>
      <c r="R28" s="56">
        <f>Coherence_Density!$D$16</f>
        <v>1.0199812770051111</v>
      </c>
      <c r="S28" s="56">
        <f>Coherence_Density!$D$18</f>
        <v>0.63375000000000004</v>
      </c>
      <c r="T28" s="190" t="str">
        <f t="shared" si="7"/>
        <v/>
      </c>
      <c r="U28" s="56" t="str">
        <f>IF(Q28="","",Calibration!$C$20+0.3*(1-Q28))</f>
        <v/>
      </c>
      <c r="V28" s="186" t="str">
        <f t="shared" si="8"/>
        <v/>
      </c>
      <c r="W28" s="186" t="str">
        <f t="shared" si="9"/>
        <v/>
      </c>
      <c r="X28" s="186" t="str">
        <f t="shared" si="10"/>
        <v/>
      </c>
      <c r="Y28" s="193" t="str">
        <f t="shared" si="11"/>
        <v/>
      </c>
      <c r="Z28" s="192"/>
      <c r="AA28" s="192"/>
      <c r="AB28" s="180" t="str">
        <f>IF('Top 10 Risks'!E31="","",'Top 10 Risks'!E31)</f>
        <v/>
      </c>
    </row>
    <row r="29" spans="1:28" ht="18" customHeight="1" x14ac:dyDescent="0.25">
      <c r="A29" s="179" t="str">
        <f>IF('Top 10 Risks'!D32="","",'Top 10 Risks'!C32)</f>
        <v/>
      </c>
      <c r="B29" s="180" t="str">
        <f>IF('Top 10 Risks'!D32="","",'Top 10 Risks'!D32)</f>
        <v/>
      </c>
      <c r="C29" s="192"/>
      <c r="D29" s="182" t="str">
        <f>IF('Top 10 Risks'!D32="","",IF('Top 10 Risks'!J32=1,0.05,IF('Top 10 Risks'!J32=2,0.2,IF('Top 10 Risks'!J32=3,0.4,IF('Top 10 Risks'!J32=4,0.7,IF('Top 10 Risks'!J32=5,0.95,""))))))</f>
        <v/>
      </c>
      <c r="E29" s="183" t="str">
        <f>IF('Top 10 Risks'!D32="","",IF('Top 10 Risks'!H32=1,MatrixImpact!I10/2,IF('Top 10 Risks'!H32=2,SQRT(MatrixImpact!I10*MatrixImpact!I11),IF('Top 10 Risks'!H32=3,SQRT(MatrixImpact!I11*MatrixImpact!I12),IF('Top 10 Risks'!H32=4,SQRT(MatrixImpact!I12*MatrixImpact!I13),IF('Top 10 Risks'!H32=5,MatrixImpact!I13*1.5,""))))))</f>
        <v/>
      </c>
      <c r="F29" s="184" t="str">
        <f t="shared" si="0"/>
        <v/>
      </c>
      <c r="G29" s="185" t="str">
        <f t="shared" si="1"/>
        <v/>
      </c>
      <c r="H29" s="179" t="str">
        <f>IF('Top 10 Risks'!D32="","",IF('Top 10 Risks'!K32=1,7,IF('Top 10 Risks'!K32=2,5,IF('Top 10 Risks'!K32=3,3,IF('Top 10 Risks'!K32=4,9,5)))))</f>
        <v/>
      </c>
      <c r="I29" s="56" t="str">
        <f>IF(H29="","",H29/Calibration!$C$21)</f>
        <v/>
      </c>
      <c r="J29" s="186" t="str">
        <f t="shared" si="2"/>
        <v/>
      </c>
      <c r="K29" s="187" t="str">
        <f t="shared" si="3"/>
        <v/>
      </c>
      <c r="L29" s="188" t="str">
        <f t="shared" si="4"/>
        <v/>
      </c>
      <c r="M29" s="189" t="str">
        <f>IF('Top 10 Risks'!D32="","",MIN(1,SUM('Risk Interaction Map'!E31:AI31)/MAX(1,COUNTA('Top 10 Risks'!D$9:D$39)-1)))</f>
        <v/>
      </c>
      <c r="N29" s="186" t="str">
        <f t="shared" si="5"/>
        <v/>
      </c>
      <c r="O29" s="186" t="str">
        <f t="shared" si="6"/>
        <v/>
      </c>
      <c r="P29" s="186" t="str">
        <f t="shared" si="12"/>
        <v/>
      </c>
      <c r="Q29" s="186" t="str">
        <f t="shared" si="13"/>
        <v/>
      </c>
      <c r="R29" s="56">
        <f>Coherence_Density!$D$16</f>
        <v>1.0199812770051111</v>
      </c>
      <c r="S29" s="56">
        <f>Coherence_Density!$D$18</f>
        <v>0.63375000000000004</v>
      </c>
      <c r="T29" s="190" t="str">
        <f t="shared" si="7"/>
        <v/>
      </c>
      <c r="U29" s="56" t="str">
        <f>IF(Q29="","",Calibration!$C$20+0.3*(1-Q29))</f>
        <v/>
      </c>
      <c r="V29" s="186" t="str">
        <f t="shared" si="8"/>
        <v/>
      </c>
      <c r="W29" s="186" t="str">
        <f t="shared" si="9"/>
        <v/>
      </c>
      <c r="X29" s="186" t="str">
        <f t="shared" si="10"/>
        <v/>
      </c>
      <c r="Y29" s="193" t="str">
        <f t="shared" si="11"/>
        <v/>
      </c>
      <c r="Z29" s="192"/>
      <c r="AA29" s="192"/>
      <c r="AB29" s="180" t="str">
        <f>IF('Top 10 Risks'!E32="","",'Top 10 Risks'!E32)</f>
        <v/>
      </c>
    </row>
    <row r="30" spans="1:28" ht="18" customHeight="1" x14ac:dyDescent="0.25">
      <c r="A30" s="179" t="str">
        <f>IF('Top 10 Risks'!D33="","",'Top 10 Risks'!C33)</f>
        <v/>
      </c>
      <c r="B30" s="180" t="str">
        <f>IF('Top 10 Risks'!D33="","",'Top 10 Risks'!D33)</f>
        <v/>
      </c>
      <c r="C30" s="192"/>
      <c r="D30" s="182" t="str">
        <f>IF('Top 10 Risks'!D33="","",IF('Top 10 Risks'!J33=1,0.05,IF('Top 10 Risks'!J33=2,0.2,IF('Top 10 Risks'!J33=3,0.4,IF('Top 10 Risks'!J33=4,0.7,IF('Top 10 Risks'!J33=5,0.95,""))))))</f>
        <v/>
      </c>
      <c r="E30" s="183" t="str">
        <f>IF('Top 10 Risks'!D33="","",IF('Top 10 Risks'!H33=1,MatrixImpact!I10/2,IF('Top 10 Risks'!H33=2,SQRT(MatrixImpact!I10*MatrixImpact!I11),IF('Top 10 Risks'!H33=3,SQRT(MatrixImpact!I11*MatrixImpact!I12),IF('Top 10 Risks'!H33=4,SQRT(MatrixImpact!I12*MatrixImpact!I13),IF('Top 10 Risks'!H33=5,MatrixImpact!I13*1.5,""))))))</f>
        <v/>
      </c>
      <c r="F30" s="184" t="str">
        <f t="shared" si="0"/>
        <v/>
      </c>
      <c r="G30" s="185" t="str">
        <f t="shared" si="1"/>
        <v/>
      </c>
      <c r="H30" s="179" t="str">
        <f>IF('Top 10 Risks'!D33="","",IF('Top 10 Risks'!K33=1,7,IF('Top 10 Risks'!K33=2,5,IF('Top 10 Risks'!K33=3,3,IF('Top 10 Risks'!K33=4,9,5)))))</f>
        <v/>
      </c>
      <c r="I30" s="56" t="str">
        <f>IF(H30="","",H30/Calibration!$C$21)</f>
        <v/>
      </c>
      <c r="J30" s="186" t="str">
        <f t="shared" si="2"/>
        <v/>
      </c>
      <c r="K30" s="187" t="str">
        <f t="shared" si="3"/>
        <v/>
      </c>
      <c r="L30" s="188" t="str">
        <f t="shared" si="4"/>
        <v/>
      </c>
      <c r="M30" s="189" t="str">
        <f>IF('Top 10 Risks'!D33="","",MIN(1,SUM('Risk Interaction Map'!E32:AI32)/MAX(1,COUNTA('Top 10 Risks'!D$9:D$39)-1)))</f>
        <v/>
      </c>
      <c r="N30" s="186" t="str">
        <f t="shared" si="5"/>
        <v/>
      </c>
      <c r="O30" s="186" t="str">
        <f t="shared" si="6"/>
        <v/>
      </c>
      <c r="P30" s="186" t="str">
        <f t="shared" si="12"/>
        <v/>
      </c>
      <c r="Q30" s="186" t="str">
        <f t="shared" si="13"/>
        <v/>
      </c>
      <c r="R30" s="56">
        <f>Coherence_Density!$D$16</f>
        <v>1.0199812770051111</v>
      </c>
      <c r="S30" s="56">
        <f>Coherence_Density!$D$18</f>
        <v>0.63375000000000004</v>
      </c>
      <c r="T30" s="190" t="str">
        <f t="shared" si="7"/>
        <v/>
      </c>
      <c r="U30" s="56" t="str">
        <f>IF(Q30="","",Calibration!$C$20+0.3*(1-Q30))</f>
        <v/>
      </c>
      <c r="V30" s="186" t="str">
        <f t="shared" si="8"/>
        <v/>
      </c>
      <c r="W30" s="186" t="str">
        <f t="shared" si="9"/>
        <v/>
      </c>
      <c r="X30" s="186" t="str">
        <f t="shared" si="10"/>
        <v/>
      </c>
      <c r="Y30" s="193" t="str">
        <f t="shared" si="11"/>
        <v/>
      </c>
      <c r="Z30" s="192"/>
      <c r="AA30" s="192"/>
      <c r="AB30" s="180" t="str">
        <f>IF('Top 10 Risks'!E33="","",'Top 10 Risks'!E33)</f>
        <v/>
      </c>
    </row>
    <row r="31" spans="1:28" ht="18" customHeight="1" x14ac:dyDescent="0.25">
      <c r="A31" s="179" t="str">
        <f>IF('Top 10 Risks'!D34="","",'Top 10 Risks'!C34)</f>
        <v/>
      </c>
      <c r="B31" s="180" t="str">
        <f>IF('Top 10 Risks'!D34="","",'Top 10 Risks'!D34)</f>
        <v/>
      </c>
      <c r="C31" s="192"/>
      <c r="D31" s="182" t="str">
        <f>IF('Top 10 Risks'!D34="","",IF('Top 10 Risks'!J34=1,0.05,IF('Top 10 Risks'!J34=2,0.2,IF('Top 10 Risks'!J34=3,0.4,IF('Top 10 Risks'!J34=4,0.7,IF('Top 10 Risks'!J34=5,0.95,""))))))</f>
        <v/>
      </c>
      <c r="E31" s="183" t="str">
        <f>IF('Top 10 Risks'!D34="","",IF('Top 10 Risks'!H34=1,MatrixImpact!I10/2,IF('Top 10 Risks'!H34=2,SQRT(MatrixImpact!I10*MatrixImpact!I11),IF('Top 10 Risks'!H34=3,SQRT(MatrixImpact!I11*MatrixImpact!I12),IF('Top 10 Risks'!H34=4,SQRT(MatrixImpact!I12*MatrixImpact!I13),IF('Top 10 Risks'!H34=5,MatrixImpact!I13*1.5,""))))))</f>
        <v/>
      </c>
      <c r="F31" s="184" t="str">
        <f t="shared" si="0"/>
        <v/>
      </c>
      <c r="G31" s="185" t="str">
        <f t="shared" si="1"/>
        <v/>
      </c>
      <c r="H31" s="179" t="str">
        <f>IF('Top 10 Risks'!D34="","",IF('Top 10 Risks'!K34=1,7,IF('Top 10 Risks'!K34=2,5,IF('Top 10 Risks'!K34=3,3,IF('Top 10 Risks'!K34=4,9,5)))))</f>
        <v/>
      </c>
      <c r="I31" s="56" t="str">
        <f>IF(H31="","",H31/Calibration!$C$21)</f>
        <v/>
      </c>
      <c r="J31" s="186" t="str">
        <f t="shared" si="2"/>
        <v/>
      </c>
      <c r="K31" s="187" t="str">
        <f t="shared" si="3"/>
        <v/>
      </c>
      <c r="L31" s="188" t="str">
        <f t="shared" si="4"/>
        <v/>
      </c>
      <c r="M31" s="189" t="str">
        <f>IF('Top 10 Risks'!D34="","",MIN(1,SUM('Risk Interaction Map'!E33:AI33)/MAX(1,COUNTA('Top 10 Risks'!D$9:D$39)-1)))</f>
        <v/>
      </c>
      <c r="N31" s="186" t="str">
        <f t="shared" si="5"/>
        <v/>
      </c>
      <c r="O31" s="186" t="str">
        <f t="shared" si="6"/>
        <v/>
      </c>
      <c r="P31" s="186" t="str">
        <f t="shared" si="12"/>
        <v/>
      </c>
      <c r="Q31" s="186" t="str">
        <f t="shared" si="13"/>
        <v/>
      </c>
      <c r="R31" s="56">
        <f>Coherence_Density!$D$16</f>
        <v>1.0199812770051111</v>
      </c>
      <c r="S31" s="56">
        <f>Coherence_Density!$D$18</f>
        <v>0.63375000000000004</v>
      </c>
      <c r="T31" s="190" t="str">
        <f t="shared" si="7"/>
        <v/>
      </c>
      <c r="U31" s="56" t="str">
        <f>IF(Q31="","",Calibration!$C$20+0.3*(1-Q31))</f>
        <v/>
      </c>
      <c r="V31" s="186" t="str">
        <f t="shared" si="8"/>
        <v/>
      </c>
      <c r="W31" s="186" t="str">
        <f t="shared" si="9"/>
        <v/>
      </c>
      <c r="X31" s="186" t="str">
        <f t="shared" si="10"/>
        <v/>
      </c>
      <c r="Y31" s="193" t="str">
        <f t="shared" si="11"/>
        <v/>
      </c>
      <c r="Z31" s="192"/>
      <c r="AA31" s="192"/>
      <c r="AB31" s="180" t="str">
        <f>IF('Top 10 Risks'!E34="","",'Top 10 Risks'!E34)</f>
        <v/>
      </c>
    </row>
    <row r="32" spans="1:28" ht="18" customHeight="1" x14ac:dyDescent="0.25">
      <c r="A32" s="179" t="str">
        <f>IF('Top 10 Risks'!D35="","",'Top 10 Risks'!C35)</f>
        <v/>
      </c>
      <c r="B32" s="180" t="str">
        <f>IF('Top 10 Risks'!D35="","",'Top 10 Risks'!D35)</f>
        <v/>
      </c>
      <c r="C32" s="192"/>
      <c r="D32" s="182" t="str">
        <f>IF('Top 10 Risks'!D35="","",IF('Top 10 Risks'!J35=1,0.05,IF('Top 10 Risks'!J35=2,0.2,IF('Top 10 Risks'!J35=3,0.4,IF('Top 10 Risks'!J35=4,0.7,IF('Top 10 Risks'!J35=5,0.95,""))))))</f>
        <v/>
      </c>
      <c r="E32" s="183" t="str">
        <f>IF('Top 10 Risks'!D35="","",IF('Top 10 Risks'!H35=1,MatrixImpact!I10/2,IF('Top 10 Risks'!H35=2,SQRT(MatrixImpact!I10*MatrixImpact!I11),IF('Top 10 Risks'!H35=3,SQRT(MatrixImpact!I11*MatrixImpact!I12),IF('Top 10 Risks'!H35=4,SQRT(MatrixImpact!I12*MatrixImpact!I13),IF('Top 10 Risks'!H35=5,MatrixImpact!I13*1.5,""))))))</f>
        <v/>
      </c>
      <c r="F32" s="184" t="str">
        <f t="shared" si="0"/>
        <v/>
      </c>
      <c r="G32" s="185" t="str">
        <f t="shared" si="1"/>
        <v/>
      </c>
      <c r="H32" s="179" t="str">
        <f>IF('Top 10 Risks'!D35="","",IF('Top 10 Risks'!K35=1,7,IF('Top 10 Risks'!K35=2,5,IF('Top 10 Risks'!K35=3,3,IF('Top 10 Risks'!K35=4,9,5)))))</f>
        <v/>
      </c>
      <c r="I32" s="56" t="str">
        <f>IF(H32="","",H32/Calibration!$C$21)</f>
        <v/>
      </c>
      <c r="J32" s="186" t="str">
        <f t="shared" si="2"/>
        <v/>
      </c>
      <c r="K32" s="187" t="str">
        <f t="shared" si="3"/>
        <v/>
      </c>
      <c r="L32" s="188" t="str">
        <f t="shared" si="4"/>
        <v/>
      </c>
      <c r="M32" s="189" t="str">
        <f>IF('Top 10 Risks'!D35="","",MIN(1,SUM('Risk Interaction Map'!E34:AI34)/MAX(1,COUNTA('Top 10 Risks'!D$9:D$39)-1)))</f>
        <v/>
      </c>
      <c r="N32" s="186" t="str">
        <f t="shared" si="5"/>
        <v/>
      </c>
      <c r="O32" s="186" t="str">
        <f t="shared" si="6"/>
        <v/>
      </c>
      <c r="P32" s="186" t="str">
        <f t="shared" si="12"/>
        <v/>
      </c>
      <c r="Q32" s="186" t="str">
        <f t="shared" si="13"/>
        <v/>
      </c>
      <c r="R32" s="56">
        <f>Coherence_Density!$D$16</f>
        <v>1.0199812770051111</v>
      </c>
      <c r="S32" s="56">
        <f>Coherence_Density!$D$18</f>
        <v>0.63375000000000004</v>
      </c>
      <c r="T32" s="190" t="str">
        <f t="shared" si="7"/>
        <v/>
      </c>
      <c r="U32" s="56" t="str">
        <f>IF(Q32="","",Calibration!$C$20+0.3*(1-Q32))</f>
        <v/>
      </c>
      <c r="V32" s="186" t="str">
        <f t="shared" si="8"/>
        <v/>
      </c>
      <c r="W32" s="186" t="str">
        <f t="shared" si="9"/>
        <v/>
      </c>
      <c r="X32" s="186" t="str">
        <f t="shared" si="10"/>
        <v/>
      </c>
      <c r="Y32" s="193" t="str">
        <f t="shared" si="11"/>
        <v/>
      </c>
      <c r="Z32" s="192"/>
      <c r="AA32" s="192"/>
      <c r="AB32" s="180" t="str">
        <f>IF('Top 10 Risks'!E35="","",'Top 10 Risks'!E35)</f>
        <v/>
      </c>
    </row>
    <row r="33" spans="1:28" ht="18" customHeight="1" x14ac:dyDescent="0.25">
      <c r="A33" s="179" t="str">
        <f>IF('Top 10 Risks'!D36="","",'Top 10 Risks'!C36)</f>
        <v/>
      </c>
      <c r="B33" s="180" t="str">
        <f>IF('Top 10 Risks'!D36="","",'Top 10 Risks'!D36)</f>
        <v/>
      </c>
      <c r="C33" s="192"/>
      <c r="D33" s="182" t="str">
        <f>IF('Top 10 Risks'!D36="","",IF('Top 10 Risks'!J36=1,0.05,IF('Top 10 Risks'!J36=2,0.2,IF('Top 10 Risks'!J36=3,0.4,IF('Top 10 Risks'!J36=4,0.7,IF('Top 10 Risks'!J36=5,0.95,""))))))</f>
        <v/>
      </c>
      <c r="E33" s="183" t="str">
        <f>IF('Top 10 Risks'!D36="","",IF('Top 10 Risks'!H36=1,MatrixImpact!I10/2,IF('Top 10 Risks'!H36=2,SQRT(MatrixImpact!I10*MatrixImpact!I11),IF('Top 10 Risks'!H36=3,SQRT(MatrixImpact!I11*MatrixImpact!I12),IF('Top 10 Risks'!H36=4,SQRT(MatrixImpact!I12*MatrixImpact!I13),IF('Top 10 Risks'!H36=5,MatrixImpact!I13*1.5,""))))))</f>
        <v/>
      </c>
      <c r="F33" s="184" t="str">
        <f t="shared" si="0"/>
        <v/>
      </c>
      <c r="G33" s="185" t="str">
        <f t="shared" si="1"/>
        <v/>
      </c>
      <c r="H33" s="179" t="str">
        <f>IF('Top 10 Risks'!D36="","",IF('Top 10 Risks'!K36=1,7,IF('Top 10 Risks'!K36=2,5,IF('Top 10 Risks'!K36=3,3,IF('Top 10 Risks'!K36=4,9,5)))))</f>
        <v/>
      </c>
      <c r="I33" s="56" t="str">
        <f>IF(H33="","",H33/Calibration!$C$21)</f>
        <v/>
      </c>
      <c r="J33" s="186" t="str">
        <f t="shared" si="2"/>
        <v/>
      </c>
      <c r="K33" s="187" t="str">
        <f t="shared" si="3"/>
        <v/>
      </c>
      <c r="L33" s="188" t="str">
        <f t="shared" si="4"/>
        <v/>
      </c>
      <c r="M33" s="189" t="str">
        <f>IF('Top 10 Risks'!D36="","",MIN(1,SUM('Risk Interaction Map'!E35:AI35)/MAX(1,COUNTA('Top 10 Risks'!D$9:D$39)-1)))</f>
        <v/>
      </c>
      <c r="N33" s="186" t="str">
        <f t="shared" si="5"/>
        <v/>
      </c>
      <c r="O33" s="186" t="str">
        <f t="shared" si="6"/>
        <v/>
      </c>
      <c r="P33" s="186" t="str">
        <f t="shared" si="12"/>
        <v/>
      </c>
      <c r="Q33" s="186" t="str">
        <f t="shared" si="13"/>
        <v/>
      </c>
      <c r="R33" s="56">
        <f>Coherence_Density!$D$16</f>
        <v>1.0199812770051111</v>
      </c>
      <c r="S33" s="56">
        <f>Coherence_Density!$D$18</f>
        <v>0.63375000000000004</v>
      </c>
      <c r="T33" s="190" t="str">
        <f t="shared" si="7"/>
        <v/>
      </c>
      <c r="U33" s="56" t="str">
        <f>IF(Q33="","",Calibration!$C$20+0.3*(1-Q33))</f>
        <v/>
      </c>
      <c r="V33" s="186" t="str">
        <f t="shared" si="8"/>
        <v/>
      </c>
      <c r="W33" s="186" t="str">
        <f t="shared" si="9"/>
        <v/>
      </c>
      <c r="X33" s="186" t="str">
        <f t="shared" si="10"/>
        <v/>
      </c>
      <c r="Y33" s="193" t="str">
        <f t="shared" si="11"/>
        <v/>
      </c>
      <c r="Z33" s="192"/>
      <c r="AA33" s="192"/>
      <c r="AB33" s="180" t="str">
        <f>IF('Top 10 Risks'!E36="","",'Top 10 Risks'!E36)</f>
        <v/>
      </c>
    </row>
    <row r="34" spans="1:28" ht="18" customHeight="1" x14ac:dyDescent="0.25">
      <c r="A34" s="179" t="str">
        <f>IF('Top 10 Risks'!D37="","",'Top 10 Risks'!C37)</f>
        <v/>
      </c>
      <c r="B34" s="180" t="str">
        <f>IF('Top 10 Risks'!D37="","",'Top 10 Risks'!D37)</f>
        <v/>
      </c>
      <c r="C34" s="192"/>
      <c r="D34" s="182" t="str">
        <f>IF('Top 10 Risks'!D37="","",IF('Top 10 Risks'!J37=1,0.05,IF('Top 10 Risks'!J37=2,0.2,IF('Top 10 Risks'!J37=3,0.4,IF('Top 10 Risks'!J37=4,0.7,IF('Top 10 Risks'!J37=5,0.95,""))))))</f>
        <v/>
      </c>
      <c r="E34" s="183" t="str">
        <f>IF('Top 10 Risks'!D37="","",IF('Top 10 Risks'!H37=1,MatrixImpact!I10/2,IF('Top 10 Risks'!H37=2,SQRT(MatrixImpact!I10*MatrixImpact!I11),IF('Top 10 Risks'!H37=3,SQRT(MatrixImpact!I11*MatrixImpact!I12),IF('Top 10 Risks'!H37=4,SQRT(MatrixImpact!I12*MatrixImpact!I13),IF('Top 10 Risks'!H37=5,MatrixImpact!I13*1.5,""))))))</f>
        <v/>
      </c>
      <c r="F34" s="184" t="str">
        <f t="shared" si="0"/>
        <v/>
      </c>
      <c r="G34" s="185" t="str">
        <f t="shared" si="1"/>
        <v/>
      </c>
      <c r="H34" s="179" t="str">
        <f>IF('Top 10 Risks'!D37="","",IF('Top 10 Risks'!K37=1,7,IF('Top 10 Risks'!K37=2,5,IF('Top 10 Risks'!K37=3,3,IF('Top 10 Risks'!K37=4,9,5)))))</f>
        <v/>
      </c>
      <c r="I34" s="56" t="str">
        <f>IF(H34="","",H34/Calibration!$C$21)</f>
        <v/>
      </c>
      <c r="J34" s="186" t="str">
        <f t="shared" si="2"/>
        <v/>
      </c>
      <c r="K34" s="187" t="str">
        <f t="shared" si="3"/>
        <v/>
      </c>
      <c r="L34" s="188" t="str">
        <f t="shared" si="4"/>
        <v/>
      </c>
      <c r="M34" s="189" t="str">
        <f>IF('Top 10 Risks'!D37="","",MIN(1,SUM('Risk Interaction Map'!E36:AI36)/MAX(1,COUNTA('Top 10 Risks'!D$9:D$39)-1)))</f>
        <v/>
      </c>
      <c r="N34" s="186" t="str">
        <f t="shared" si="5"/>
        <v/>
      </c>
      <c r="O34" s="186" t="str">
        <f t="shared" si="6"/>
        <v/>
      </c>
      <c r="P34" s="186" t="str">
        <f t="shared" si="12"/>
        <v/>
      </c>
      <c r="Q34" s="186" t="str">
        <f t="shared" si="13"/>
        <v/>
      </c>
      <c r="R34" s="56">
        <f>Coherence_Density!$D$16</f>
        <v>1.0199812770051111</v>
      </c>
      <c r="S34" s="56">
        <f>Coherence_Density!$D$18</f>
        <v>0.63375000000000004</v>
      </c>
      <c r="T34" s="190" t="str">
        <f t="shared" si="7"/>
        <v/>
      </c>
      <c r="U34" s="56" t="str">
        <f>IF(Q34="","",Calibration!$C$20+0.3*(1-Q34))</f>
        <v/>
      </c>
      <c r="V34" s="186" t="str">
        <f t="shared" si="8"/>
        <v/>
      </c>
      <c r="W34" s="186" t="str">
        <f t="shared" si="9"/>
        <v/>
      </c>
      <c r="X34" s="186" t="str">
        <f t="shared" si="10"/>
        <v/>
      </c>
      <c r="Y34" s="193" t="str">
        <f t="shared" si="11"/>
        <v/>
      </c>
      <c r="Z34" s="192"/>
      <c r="AA34" s="192"/>
      <c r="AB34" s="180" t="str">
        <f>IF('Top 10 Risks'!E37="","",'Top 10 Risks'!E37)</f>
        <v/>
      </c>
    </row>
    <row r="35" spans="1:28" ht="18" customHeight="1" x14ac:dyDescent="0.25">
      <c r="A35" s="179" t="str">
        <f>IF('Top 10 Risks'!D38="","",'Top 10 Risks'!C38)</f>
        <v/>
      </c>
      <c r="B35" s="180" t="str">
        <f>IF('Top 10 Risks'!D38="","",'Top 10 Risks'!D38)</f>
        <v/>
      </c>
      <c r="C35" s="192"/>
      <c r="D35" s="182" t="str">
        <f>IF('Top 10 Risks'!D38="","",IF('Top 10 Risks'!J38=1,0.05,IF('Top 10 Risks'!J38=2,0.2,IF('Top 10 Risks'!J38=3,0.4,IF('Top 10 Risks'!J38=4,0.7,IF('Top 10 Risks'!J38=5,0.95,""))))))</f>
        <v/>
      </c>
      <c r="E35" s="183" t="str">
        <f>IF('Top 10 Risks'!D38="","",IF('Top 10 Risks'!H38=1,MatrixImpact!I10/2,IF('Top 10 Risks'!H38=2,SQRT(MatrixImpact!I10*MatrixImpact!I11),IF('Top 10 Risks'!H38=3,SQRT(MatrixImpact!I11*MatrixImpact!I12),IF('Top 10 Risks'!H38=4,SQRT(MatrixImpact!I12*MatrixImpact!I13),IF('Top 10 Risks'!H38=5,MatrixImpact!I13*1.5,""))))))</f>
        <v/>
      </c>
      <c r="F35" s="184" t="str">
        <f t="shared" si="0"/>
        <v/>
      </c>
      <c r="G35" s="185" t="str">
        <f t="shared" si="1"/>
        <v/>
      </c>
      <c r="H35" s="179" t="str">
        <f>IF('Top 10 Risks'!D38="","",IF('Top 10 Risks'!K38=1,7,IF('Top 10 Risks'!K38=2,5,IF('Top 10 Risks'!K38=3,3,IF('Top 10 Risks'!K38=4,9,5)))))</f>
        <v/>
      </c>
      <c r="I35" s="56" t="str">
        <f>IF(H35="","",H35/Calibration!$C$21)</f>
        <v/>
      </c>
      <c r="J35" s="186" t="str">
        <f t="shared" si="2"/>
        <v/>
      </c>
      <c r="K35" s="187" t="str">
        <f t="shared" si="3"/>
        <v/>
      </c>
      <c r="L35" s="188" t="str">
        <f t="shared" si="4"/>
        <v/>
      </c>
      <c r="M35" s="189" t="str">
        <f>IF('Top 10 Risks'!D38="","",MIN(1,SUM('Risk Interaction Map'!E37:AI37)/MAX(1,COUNTA('Top 10 Risks'!D$9:D$39)-1)))</f>
        <v/>
      </c>
      <c r="N35" s="186" t="str">
        <f t="shared" si="5"/>
        <v/>
      </c>
      <c r="O35" s="186" t="str">
        <f t="shared" si="6"/>
        <v/>
      </c>
      <c r="P35" s="186" t="str">
        <f t="shared" si="12"/>
        <v/>
      </c>
      <c r="Q35" s="186" t="str">
        <f t="shared" si="13"/>
        <v/>
      </c>
      <c r="R35" s="56">
        <f>Coherence_Density!$D$16</f>
        <v>1.0199812770051111</v>
      </c>
      <c r="S35" s="56">
        <f>Coherence_Density!$D$18</f>
        <v>0.63375000000000004</v>
      </c>
      <c r="T35" s="190" t="str">
        <f t="shared" si="7"/>
        <v/>
      </c>
      <c r="U35" s="56" t="str">
        <f>IF(Q35="","",Calibration!$C$20+0.3*(1-Q35))</f>
        <v/>
      </c>
      <c r="V35" s="186" t="str">
        <f t="shared" si="8"/>
        <v/>
      </c>
      <c r="W35" s="186" t="str">
        <f t="shared" si="9"/>
        <v/>
      </c>
      <c r="X35" s="186" t="str">
        <f t="shared" si="10"/>
        <v/>
      </c>
      <c r="Y35" s="193" t="str">
        <f t="shared" si="11"/>
        <v/>
      </c>
      <c r="Z35" s="192"/>
      <c r="AA35" s="192"/>
      <c r="AB35" s="180" t="str">
        <f>IF('Top 10 Risks'!E38="","",'Top 10 Risks'!E38)</f>
        <v/>
      </c>
    </row>
    <row r="36" spans="1:28" ht="18" customHeight="1" x14ac:dyDescent="0.25">
      <c r="A36" s="179" t="str">
        <f>IF('Top 10 Risks'!D39="","",'Top 10 Risks'!C39)</f>
        <v/>
      </c>
      <c r="B36" s="180" t="str">
        <f>IF('Top 10 Risks'!D39="","",'Top 10 Risks'!D39)</f>
        <v/>
      </c>
      <c r="C36" s="192"/>
      <c r="D36" s="182" t="str">
        <f>IF('Top 10 Risks'!D39="","",IF('Top 10 Risks'!J39=1,0.05,IF('Top 10 Risks'!J39=2,0.2,IF('Top 10 Risks'!J39=3,0.4,IF('Top 10 Risks'!J39=4,0.7,IF('Top 10 Risks'!J39=5,0.95,""))))))</f>
        <v/>
      </c>
      <c r="E36" s="183" t="str">
        <f>IF('Top 10 Risks'!D39="","",IF('Top 10 Risks'!H39=1,MatrixImpact!I10/2,IF('Top 10 Risks'!H39=2,SQRT(MatrixImpact!I10*MatrixImpact!I11),IF('Top 10 Risks'!H39=3,SQRT(MatrixImpact!I11*MatrixImpact!I12),IF('Top 10 Risks'!H39=4,SQRT(MatrixImpact!I12*MatrixImpact!I13),IF('Top 10 Risks'!H39=5,MatrixImpact!I13*1.5,""))))))</f>
        <v/>
      </c>
      <c r="F36" s="184" t="str">
        <f t="shared" si="0"/>
        <v/>
      </c>
      <c r="G36" s="185" t="str">
        <f t="shared" si="1"/>
        <v/>
      </c>
      <c r="H36" s="179" t="str">
        <f>IF('Top 10 Risks'!D39="","",IF('Top 10 Risks'!K39=1,7,IF('Top 10 Risks'!K39=2,5,IF('Top 10 Risks'!K39=3,3,IF('Top 10 Risks'!K39=4,9,5)))))</f>
        <v/>
      </c>
      <c r="I36" s="56" t="str">
        <f>IF(H36="","",H36/Calibration!$C$21)</f>
        <v/>
      </c>
      <c r="J36" s="186" t="str">
        <f t="shared" si="2"/>
        <v/>
      </c>
      <c r="K36" s="187" t="str">
        <f t="shared" si="3"/>
        <v/>
      </c>
      <c r="L36" s="188" t="str">
        <f t="shared" si="4"/>
        <v/>
      </c>
      <c r="M36" s="189" t="str">
        <f>IF('Top 10 Risks'!D39="","",MIN(1,SUM('Risk Interaction Map'!E38:AI38)/MAX(1,COUNTA('Top 10 Risks'!D$9:D$39)-1)))</f>
        <v/>
      </c>
      <c r="N36" s="186" t="str">
        <f t="shared" si="5"/>
        <v/>
      </c>
      <c r="O36" s="186" t="str">
        <f t="shared" si="6"/>
        <v/>
      </c>
      <c r="P36" s="186" t="str">
        <f t="shared" si="12"/>
        <v/>
      </c>
      <c r="Q36" s="186" t="str">
        <f t="shared" si="13"/>
        <v/>
      </c>
      <c r="R36" s="56">
        <f>Coherence_Density!$D$16</f>
        <v>1.0199812770051111</v>
      </c>
      <c r="S36" s="56">
        <f>Coherence_Density!$D$18</f>
        <v>0.63375000000000004</v>
      </c>
      <c r="T36" s="190" t="str">
        <f t="shared" si="7"/>
        <v/>
      </c>
      <c r="U36" s="56" t="str">
        <f>IF(Q36="","",Calibration!$C$20+0.3*(1-Q36))</f>
        <v/>
      </c>
      <c r="V36" s="186" t="str">
        <f t="shared" si="8"/>
        <v/>
      </c>
      <c r="W36" s="186" t="str">
        <f t="shared" si="9"/>
        <v/>
      </c>
      <c r="X36" s="186" t="str">
        <f t="shared" si="10"/>
        <v/>
      </c>
      <c r="Y36" s="193" t="str">
        <f t="shared" si="11"/>
        <v/>
      </c>
      <c r="Z36" s="192"/>
      <c r="AA36" s="192"/>
      <c r="AB36" s="180" t="str">
        <f>IF('Top 10 Risks'!E39="","",'Top 10 Risks'!E39)</f>
        <v/>
      </c>
    </row>
    <row r="37" spans="1:28" ht="18" customHeight="1" x14ac:dyDescent="0.25">
      <c r="A37" s="194"/>
      <c r="E37" s="195"/>
      <c r="O37" s="196"/>
    </row>
  </sheetData>
  <mergeCells count="10">
    <mergeCell ref="A1:AB1"/>
    <mergeCell ref="A2:AB2"/>
    <mergeCell ref="A3:C3"/>
    <mergeCell ref="D3:G3"/>
    <mergeCell ref="H3:J3"/>
    <mergeCell ref="K3:O3"/>
    <mergeCell ref="P3:Q3"/>
    <mergeCell ref="R3:T3"/>
    <mergeCell ref="U3:X3"/>
    <mergeCell ref="Y3:AB3"/>
  </mergeCells>
  <dataValidations count="2">
    <dataValidation type="list" allowBlank="1" sqref="C6:C36" xr:uid="{00000000-0002-0000-0900-000000000000}">
      <formula1>"OPS,TECH,REG,STR,FIN,ESG,GEO,REP"</formula1>
      <formula2>0</formula2>
    </dataValidation>
    <dataValidation type="decimal" sqref="L6:L36 Z6:AA36" xr:uid="{00000000-0002-0000-09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0000"/>
  </sheetPr>
  <dimension ref="A1:AF37"/>
  <sheetViews>
    <sheetView zoomScaleNormal="100" workbookViewId="0">
      <pane xSplit="2" ySplit="5" topLeftCell="E8" activePane="bottomRight" state="frozen"/>
      <selection pane="topRight" activeCell="C1" sqref="C1"/>
      <selection pane="bottomLeft" activeCell="A6" sqref="A6"/>
      <selection pane="bottomRight" activeCell="E8" sqref="E8"/>
    </sheetView>
  </sheetViews>
  <sheetFormatPr defaultColWidth="8.7109375" defaultRowHeight="15" x14ac:dyDescent="0.25"/>
  <cols>
    <col min="1" max="1" width="6" customWidth="1"/>
    <col min="2" max="2" width="22" customWidth="1"/>
    <col min="3" max="3" width="8" customWidth="1"/>
    <col min="4" max="4" width="7" customWidth="1"/>
    <col min="5" max="7" width="10" customWidth="1"/>
    <col min="8" max="8" width="8" customWidth="1"/>
    <col min="9" max="10" width="7" customWidth="1"/>
    <col min="11" max="11" width="10" customWidth="1"/>
    <col min="12" max="12" width="12.42578125" customWidth="1"/>
    <col min="13" max="13" width="10" customWidth="1"/>
    <col min="14" max="14" width="11.42578125" customWidth="1"/>
    <col min="15" max="16" width="10" customWidth="1"/>
    <col min="17" max="17" width="9" customWidth="1"/>
    <col min="18" max="18" width="10" customWidth="1"/>
    <col min="19" max="19" width="9" customWidth="1"/>
    <col min="20" max="20" width="10" customWidth="1"/>
    <col min="21" max="21" width="10.5703125" customWidth="1"/>
    <col min="22" max="22" width="9" customWidth="1"/>
    <col min="23" max="25" width="10" customWidth="1"/>
    <col min="26" max="26" width="8" customWidth="1"/>
    <col min="27" max="30" width="9.85546875" customWidth="1"/>
    <col min="31" max="31" width="9" customWidth="1"/>
    <col min="32" max="32" width="25" customWidth="1"/>
  </cols>
  <sheetData>
    <row r="1" spans="1:32" ht="21.75" customHeight="1" x14ac:dyDescent="0.25">
      <c r="A1" s="385" t="s">
        <v>547</v>
      </c>
      <c r="B1" s="385"/>
      <c r="C1" s="385"/>
      <c r="D1" s="385"/>
      <c r="E1" s="385"/>
      <c r="F1" s="385"/>
      <c r="G1" s="385"/>
      <c r="H1" s="385"/>
      <c r="I1" s="385"/>
      <c r="J1" s="385"/>
      <c r="K1" s="385"/>
      <c r="L1" s="385"/>
      <c r="M1" s="385"/>
      <c r="N1" s="385"/>
      <c r="O1" s="385"/>
      <c r="P1" s="385"/>
      <c r="Q1" s="385"/>
      <c r="R1" s="385"/>
      <c r="S1" s="385"/>
      <c r="T1" s="385"/>
      <c r="U1" s="385"/>
      <c r="V1" s="385"/>
      <c r="W1" s="385"/>
      <c r="X1" s="385"/>
      <c r="Y1" s="385"/>
      <c r="Z1" s="385"/>
      <c r="AA1" s="385"/>
      <c r="AB1" s="385"/>
      <c r="AC1" s="385"/>
      <c r="AD1" s="385"/>
    </row>
    <row r="2" spans="1:32" ht="21.75" customHeight="1" x14ac:dyDescent="0.25">
      <c r="A2" s="386" t="s">
        <v>495</v>
      </c>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row>
    <row r="3" spans="1:32" ht="21.75" customHeight="1" x14ac:dyDescent="0.25">
      <c r="A3" s="387" t="s">
        <v>496</v>
      </c>
      <c r="B3" s="387"/>
      <c r="C3" s="387"/>
      <c r="D3" s="387" t="s">
        <v>548</v>
      </c>
      <c r="E3" s="387"/>
      <c r="F3" s="387"/>
      <c r="G3" s="387"/>
      <c r="H3" s="197" t="s">
        <v>549</v>
      </c>
      <c r="I3" s="388" t="s">
        <v>550</v>
      </c>
      <c r="J3" s="388"/>
      <c r="K3" s="388"/>
      <c r="L3" s="388"/>
      <c r="M3" s="388"/>
      <c r="N3" s="388"/>
      <c r="O3" s="389" t="s">
        <v>551</v>
      </c>
      <c r="P3" s="389"/>
      <c r="Q3" s="389"/>
      <c r="R3" s="389"/>
      <c r="S3" s="389"/>
      <c r="T3" s="389" t="s">
        <v>552</v>
      </c>
      <c r="U3" s="389"/>
      <c r="V3" s="386" t="s">
        <v>553</v>
      </c>
      <c r="W3" s="386"/>
      <c r="X3" s="386"/>
      <c r="Y3" s="386"/>
      <c r="Z3" s="198" t="s">
        <v>554</v>
      </c>
      <c r="AA3" s="390" t="s">
        <v>555</v>
      </c>
      <c r="AB3" s="390"/>
      <c r="AC3" s="390"/>
      <c r="AD3" s="390"/>
    </row>
    <row r="4" spans="1:32" ht="34.5" customHeight="1" x14ac:dyDescent="0.25">
      <c r="D4" s="178" t="s">
        <v>504</v>
      </c>
      <c r="E4" s="178" t="s">
        <v>140</v>
      </c>
      <c r="F4" s="178" t="s">
        <v>505</v>
      </c>
      <c r="G4" s="178" t="s">
        <v>506</v>
      </c>
      <c r="H4" s="178" t="s">
        <v>507</v>
      </c>
      <c r="I4" s="178" t="s">
        <v>556</v>
      </c>
      <c r="J4" s="178" t="s">
        <v>557</v>
      </c>
      <c r="K4" s="178" t="s">
        <v>558</v>
      </c>
      <c r="L4" s="178" t="s">
        <v>559</v>
      </c>
      <c r="M4" s="178" t="s">
        <v>560</v>
      </c>
      <c r="N4" s="178" t="s">
        <v>561</v>
      </c>
      <c r="O4" s="178" t="s">
        <v>562</v>
      </c>
      <c r="P4" s="178" t="s">
        <v>563</v>
      </c>
      <c r="Q4" s="178" t="s">
        <v>564</v>
      </c>
      <c r="R4" s="178" t="s">
        <v>565</v>
      </c>
      <c r="S4" s="178" t="s">
        <v>566</v>
      </c>
      <c r="T4" s="178" t="s">
        <v>567</v>
      </c>
      <c r="U4" s="178" t="s">
        <v>568</v>
      </c>
      <c r="V4" s="178" t="s">
        <v>569</v>
      </c>
      <c r="W4" s="178" t="s">
        <v>570</v>
      </c>
      <c r="X4" s="178" t="s">
        <v>571</v>
      </c>
      <c r="Y4" s="178" t="s">
        <v>572</v>
      </c>
      <c r="Z4" s="178" t="s">
        <v>573</v>
      </c>
      <c r="AA4" s="178" t="s">
        <v>574</v>
      </c>
      <c r="AB4" s="178" t="s">
        <v>574</v>
      </c>
      <c r="AC4" s="178" t="s">
        <v>574</v>
      </c>
      <c r="AD4" s="178" t="s">
        <v>574</v>
      </c>
    </row>
    <row r="5" spans="1:32" ht="30" customHeight="1" x14ac:dyDescent="0.25">
      <c r="A5" s="52" t="s">
        <v>523</v>
      </c>
      <c r="B5" s="52" t="s">
        <v>254</v>
      </c>
      <c r="C5" s="52" t="s">
        <v>87</v>
      </c>
      <c r="D5" s="52" t="s">
        <v>525</v>
      </c>
      <c r="E5" s="52" t="s">
        <v>526</v>
      </c>
      <c r="F5" s="52" t="s">
        <v>527</v>
      </c>
      <c r="G5" s="52" t="s">
        <v>528</v>
      </c>
      <c r="H5" s="52" t="s">
        <v>575</v>
      </c>
      <c r="I5" s="52" t="s">
        <v>384</v>
      </c>
      <c r="J5" s="52" t="s">
        <v>385</v>
      </c>
      <c r="K5" s="52" t="s">
        <v>576</v>
      </c>
      <c r="L5" s="52" t="s">
        <v>577</v>
      </c>
      <c r="M5" s="52" t="s">
        <v>578</v>
      </c>
      <c r="N5" s="52" t="s">
        <v>579</v>
      </c>
      <c r="O5" s="52" t="s">
        <v>580</v>
      </c>
      <c r="P5" s="52" t="s">
        <v>581</v>
      </c>
      <c r="Q5" s="52" t="s">
        <v>582</v>
      </c>
      <c r="R5" s="52" t="s">
        <v>583</v>
      </c>
      <c r="S5" s="52" t="s">
        <v>584</v>
      </c>
      <c r="T5" s="52" t="s">
        <v>540</v>
      </c>
      <c r="U5" s="52" t="s">
        <v>585</v>
      </c>
      <c r="V5" s="52" t="s">
        <v>586</v>
      </c>
      <c r="W5" s="52" t="s">
        <v>587</v>
      </c>
      <c r="X5" s="52" t="s">
        <v>588</v>
      </c>
      <c r="Y5" s="52" t="s">
        <v>589</v>
      </c>
      <c r="Z5" s="52" t="s">
        <v>590</v>
      </c>
      <c r="AA5" s="52" t="s">
        <v>591</v>
      </c>
      <c r="AB5" s="52" t="s">
        <v>592</v>
      </c>
      <c r="AC5" s="52" t="s">
        <v>593</v>
      </c>
      <c r="AD5" s="52" t="s">
        <v>594</v>
      </c>
      <c r="AE5" s="52" t="s">
        <v>162</v>
      </c>
      <c r="AF5" s="52" t="s">
        <v>136</v>
      </c>
    </row>
    <row r="6" spans="1:32" ht="19.5" customHeight="1" x14ac:dyDescent="0.25">
      <c r="A6" s="179" t="str">
        <f>IF('Top 10 Risks'!D9="","",'Top 10 Risks'!C9)</f>
        <v/>
      </c>
      <c r="B6" s="180" t="str">
        <f>IF('Top 10 Risks'!D9="","",'Top 10 Risks'!D9)</f>
        <v/>
      </c>
      <c r="C6" s="179" t="str">
        <f>IF(RADAR!C6="","",RADAR!C6)</f>
        <v>OPS</v>
      </c>
      <c r="D6" s="182" t="str">
        <f>IF(RADAR!D6="","",RADAR!D6)</f>
        <v/>
      </c>
      <c r="E6" s="183" t="str">
        <f>IF(RADAR!E6="","",RADAR!E6)</f>
        <v/>
      </c>
      <c r="F6" s="184" t="str">
        <f t="shared" ref="F6:F36" si="0">IF(E6="","",MIN(10,MAX(1,2*LN(E6+1))))</f>
        <v/>
      </c>
      <c r="G6" s="185" t="str">
        <f t="shared" ref="G6:G36" si="1">IF(D6="","",D6*E6)</f>
        <v/>
      </c>
      <c r="H6" s="181">
        <v>9</v>
      </c>
      <c r="I6" s="56">
        <f>CORE!$D$36</f>
        <v>6.8849999999999998</v>
      </c>
      <c r="J6" s="56">
        <f>CORE!$D$44</f>
        <v>6.4749999999999996</v>
      </c>
      <c r="K6" s="199" t="str">
        <f>IF('Top 10 Risks'!D9="","",10*(IF(OR('Risk Control'!E8=FALSE(),'Risk Control'!E8=""),0,'Risk Control'!E8/4)*0.2+IF(OR('Risk Control'!L8=FALSE(),'Risk Control'!L8=""),0,'Risk Control'!L8/4)*0.15+IF(OR('Risk Control'!S8=FALSE(),'Risk Control'!S8=""),0,'Risk Control'!S8/5)*0.25+IF(OR('Risk Control'!AA8=FALSE(),'Risk Control'!AA8=""),0,'Risk Control'!AA8/5)*0.25+IF(OR('Risk Control'!AI8=FALSE(),'Risk Control'!AI8=""),0,'Risk Control'!AI8/5)*0.15))</f>
        <v/>
      </c>
      <c r="L6" s="200">
        <f t="shared" ref="L6:L36" si="2">IF(OR(I6="",K6=""),0,(I6/10)*MAX(0,K6/10))</f>
        <v>0</v>
      </c>
      <c r="M6" s="56">
        <f>Company_RI!$F$22/10</f>
        <v>0.78</v>
      </c>
      <c r="N6" s="200">
        <f t="shared" ref="N6:N36" si="3">IF(OR(L6="",M6=""),0,L6*M6)</f>
        <v>0</v>
      </c>
      <c r="O6" s="186">
        <f t="shared" ref="O6:O36" si="4">IF(OR(H6="",H6=0),"",((10-H6)*3)*(1-IFERROR(L6*M6,0)))</f>
        <v>3</v>
      </c>
      <c r="P6" s="185" t="str">
        <f t="shared" ref="P6:P36" si="5">IF(OR(E6="",E6=0),"",E6*(1-IFERROR(L6,0)))</f>
        <v/>
      </c>
      <c r="Q6" s="184" t="str">
        <f t="shared" ref="Q6:Q36" si="6">IF(P6="","",MIN(10,MAX(1,2*LN(P6+1))))</f>
        <v/>
      </c>
      <c r="R6" s="56">
        <f>IF(OR(O6="",O6=0),"",O6*Company_RI!$D$32)</f>
        <v>3.9345000000000003</v>
      </c>
      <c r="S6" s="187">
        <f t="shared" ref="S6:S36" si="7">IF(R6="","",R6*30.44)</f>
        <v>119.76618000000002</v>
      </c>
      <c r="T6" s="190">
        <f t="shared" ref="T6:T36" si="8">IF(OR(H6="",O6="",O6=0),"",(H6/10)*(1-IFERROR(N6,0))/MAX(O6,0.1))</f>
        <v>0.3</v>
      </c>
      <c r="U6" s="186" t="str">
        <f t="shared" ref="U6:U36" si="9">IF(T6="","",IF(T6&gt;=2,"IMMEDIATE",IF(T6&gt;=1,"URGENT",IF(T6&gt;=0.5,"ELEVATED","STANDARD"))))</f>
        <v>STANDARD</v>
      </c>
      <c r="V6" s="56">
        <f>Company_RI!$D$30</f>
        <v>0.19345000000000001</v>
      </c>
      <c r="W6" s="185" t="str">
        <f t="shared" ref="W6:W36" si="10">IF(P6="","",P6*(1-1.645*V6))</f>
        <v/>
      </c>
      <c r="X6" s="185" t="str">
        <f t="shared" ref="X6:X36" si="11">IF(P6="","",P6)</f>
        <v/>
      </c>
      <c r="Y6" s="185" t="str">
        <f t="shared" ref="Y6:Y36" si="12">IF(P6="","",P6*(1+1.645*V6))</f>
        <v/>
      </c>
      <c r="Z6" s="201" t="str">
        <f t="shared" ref="Z6:Z36" si="13">IF(OR(P6="",P6=0),"",(E6-P6)/P6)</f>
        <v/>
      </c>
      <c r="AA6" s="202">
        <f>IF(OR(O6="",O6=0),"",ROUND(-LN(0.75)/Company_RI!$D$31,0))</f>
        <v>8</v>
      </c>
      <c r="AB6" s="202">
        <f>IF(OR(O6="",O6=0),"",ROUND(-LN(0.5)/Company_RI!$D$31,0))</f>
        <v>18</v>
      </c>
      <c r="AC6" s="202">
        <f>IF(OR(O6="",O6=0),"",ROUND(-LN(0.25)/Company_RI!$D$31,0))</f>
        <v>36</v>
      </c>
      <c r="AD6" s="202">
        <f>IF(OR(O6="",O6=0),"",ROUND(-LN(0.05)/Company_RI!$D$31,0))</f>
        <v>78</v>
      </c>
      <c r="AE6" s="181" t="s">
        <v>595</v>
      </c>
      <c r="AF6" s="180" t="str">
        <f>IF('Top 10 Risks'!E9="","",'Top 10 Risks'!E9)</f>
        <v/>
      </c>
    </row>
    <row r="7" spans="1:32" ht="19.5" customHeight="1" x14ac:dyDescent="0.25">
      <c r="A7" s="179" t="str">
        <f>IF('Top 10 Risks'!D10="","",'Top 10 Risks'!C10)</f>
        <v/>
      </c>
      <c r="B7" s="180" t="str">
        <f>IF('Top 10 Risks'!D10="","",'Top 10 Risks'!D10)</f>
        <v/>
      </c>
      <c r="C7" s="179" t="str">
        <f>IF(RADAR!C7="","",RADAR!C7)</f>
        <v>REG</v>
      </c>
      <c r="D7" s="182" t="str">
        <f>IF(RADAR!D7="","",RADAR!D7)</f>
        <v/>
      </c>
      <c r="E7" s="183" t="str">
        <f>IF(RADAR!E7="","",RADAR!E7)</f>
        <v/>
      </c>
      <c r="F7" s="184" t="str">
        <f t="shared" si="0"/>
        <v/>
      </c>
      <c r="G7" s="185" t="str">
        <f t="shared" si="1"/>
        <v/>
      </c>
      <c r="H7" s="181">
        <v>6</v>
      </c>
      <c r="I7" s="56">
        <f>CORE!$D$36</f>
        <v>6.8849999999999998</v>
      </c>
      <c r="J7" s="56">
        <f>CORE!$D$44</f>
        <v>6.4749999999999996</v>
      </c>
      <c r="K7" s="199" t="str">
        <f>IF('Top 10 Risks'!D10="","",10*(IF(OR('Risk Control'!E9=FALSE(),'Risk Control'!E9=""),0,'Risk Control'!E9/4)*0.2+IF(OR('Risk Control'!L9=FALSE(),'Risk Control'!L9=""),0,'Risk Control'!L9/4)*0.15+IF(OR('Risk Control'!S9=FALSE(),'Risk Control'!S9=""),0,'Risk Control'!S9/5)*0.25+IF(OR('Risk Control'!AA9=FALSE(),'Risk Control'!AA9=""),0,'Risk Control'!AA9/5)*0.25+IF(OR('Risk Control'!AI9=FALSE(),'Risk Control'!AI9=""),0,'Risk Control'!AI9/5)*0.15))</f>
        <v/>
      </c>
      <c r="L7" s="200">
        <f t="shared" si="2"/>
        <v>0</v>
      </c>
      <c r="M7" s="56">
        <f>Company_RI!$F$22/10</f>
        <v>0.78</v>
      </c>
      <c r="N7" s="200">
        <f t="shared" si="3"/>
        <v>0</v>
      </c>
      <c r="O7" s="186">
        <f t="shared" si="4"/>
        <v>12</v>
      </c>
      <c r="P7" s="185" t="str">
        <f t="shared" si="5"/>
        <v/>
      </c>
      <c r="Q7" s="184" t="str">
        <f t="shared" si="6"/>
        <v/>
      </c>
      <c r="R7" s="56">
        <f>IF(OR(O7="",O7=0),"",O7*Company_RI!$D$32)</f>
        <v>15.738000000000001</v>
      </c>
      <c r="S7" s="187">
        <f t="shared" si="7"/>
        <v>479.06472000000008</v>
      </c>
      <c r="T7" s="190">
        <f t="shared" si="8"/>
        <v>4.9999999999999996E-2</v>
      </c>
      <c r="U7" s="186" t="str">
        <f t="shared" si="9"/>
        <v>STANDARD</v>
      </c>
      <c r="V7" s="56">
        <f>Company_RI!$D$30</f>
        <v>0.19345000000000001</v>
      </c>
      <c r="W7" s="185" t="str">
        <f t="shared" si="10"/>
        <v/>
      </c>
      <c r="X7" s="185" t="str">
        <f t="shared" si="11"/>
        <v/>
      </c>
      <c r="Y7" s="185" t="str">
        <f t="shared" si="12"/>
        <v/>
      </c>
      <c r="Z7" s="201" t="str">
        <f t="shared" si="13"/>
        <v/>
      </c>
      <c r="AA7" s="202">
        <f>IF(OR(O7="",O7=0),"",ROUND(-LN(0.75)/Company_RI!$D$31,0))</f>
        <v>8</v>
      </c>
      <c r="AB7" s="202">
        <f>IF(OR(O7="",O7=0),"",ROUND(-LN(0.5)/Company_RI!$D$31,0))</f>
        <v>18</v>
      </c>
      <c r="AC7" s="202">
        <f>IF(OR(O7="",O7=0),"",ROUND(-LN(0.25)/Company_RI!$D$31,0))</f>
        <v>36</v>
      </c>
      <c r="AD7" s="202">
        <f>IF(OR(O7="",O7=0),"",ROUND(-LN(0.05)/Company_RI!$D$31,0))</f>
        <v>78</v>
      </c>
      <c r="AE7" s="181" t="s">
        <v>595</v>
      </c>
      <c r="AF7" s="180" t="str">
        <f>IF('Top 10 Risks'!E10="","",'Top 10 Risks'!E10)</f>
        <v/>
      </c>
    </row>
    <row r="8" spans="1:32" ht="19.5" customHeight="1" x14ac:dyDescent="0.25">
      <c r="A8" s="179" t="str">
        <f>IF('Top 10 Risks'!D11="","",'Top 10 Risks'!C11)</f>
        <v/>
      </c>
      <c r="B8" s="180" t="str">
        <f>IF('Top 10 Risks'!D11="","",'Top 10 Risks'!D11)</f>
        <v/>
      </c>
      <c r="C8" s="179" t="str">
        <f>IF(RADAR!C8="","",RADAR!C8)</f>
        <v>TECH</v>
      </c>
      <c r="D8" s="182" t="str">
        <f>IF(RADAR!D8="","",RADAR!D8)</f>
        <v/>
      </c>
      <c r="E8" s="183" t="str">
        <f>IF(RADAR!E8="","",RADAR!E8)</f>
        <v/>
      </c>
      <c r="F8" s="184" t="str">
        <f t="shared" si="0"/>
        <v/>
      </c>
      <c r="G8" s="185" t="str">
        <f t="shared" si="1"/>
        <v/>
      </c>
      <c r="H8" s="181">
        <v>7</v>
      </c>
      <c r="I8" s="56">
        <f>CORE!$D$36</f>
        <v>6.8849999999999998</v>
      </c>
      <c r="J8" s="56">
        <f>CORE!$D$44</f>
        <v>6.4749999999999996</v>
      </c>
      <c r="K8" s="199" t="str">
        <f>IF('Top 10 Risks'!D11="","",10*(IF(OR('Risk Control'!E10=FALSE(),'Risk Control'!E10=""),0,'Risk Control'!E10/4)*0.2+IF(OR('Risk Control'!L10=FALSE(),'Risk Control'!L10=""),0,'Risk Control'!L10/4)*0.15+IF(OR('Risk Control'!S10=FALSE(),'Risk Control'!S10=""),0,'Risk Control'!S10/5)*0.25+IF(OR('Risk Control'!AA10=FALSE(),'Risk Control'!AA10=""),0,'Risk Control'!AA10/5)*0.25+IF(OR('Risk Control'!AI10=FALSE(),'Risk Control'!AI10=""),0,'Risk Control'!AI10/5)*0.15))</f>
        <v/>
      </c>
      <c r="L8" s="200">
        <f t="shared" si="2"/>
        <v>0</v>
      </c>
      <c r="M8" s="56">
        <f>Company_RI!$F$22/10</f>
        <v>0.78</v>
      </c>
      <c r="N8" s="200">
        <f t="shared" si="3"/>
        <v>0</v>
      </c>
      <c r="O8" s="186">
        <f t="shared" si="4"/>
        <v>9</v>
      </c>
      <c r="P8" s="185" t="str">
        <f t="shared" si="5"/>
        <v/>
      </c>
      <c r="Q8" s="184" t="str">
        <f t="shared" si="6"/>
        <v/>
      </c>
      <c r="R8" s="56">
        <f>IF(OR(O8="",O8=0),"",O8*Company_RI!$D$32)</f>
        <v>11.803500000000001</v>
      </c>
      <c r="S8" s="187">
        <f t="shared" si="7"/>
        <v>359.29854000000006</v>
      </c>
      <c r="T8" s="190">
        <f t="shared" si="8"/>
        <v>7.7777777777777779E-2</v>
      </c>
      <c r="U8" s="186" t="str">
        <f t="shared" si="9"/>
        <v>STANDARD</v>
      </c>
      <c r="V8" s="56">
        <f>Company_RI!$D$30</f>
        <v>0.19345000000000001</v>
      </c>
      <c r="W8" s="185" t="str">
        <f t="shared" si="10"/>
        <v/>
      </c>
      <c r="X8" s="185" t="str">
        <f t="shared" si="11"/>
        <v/>
      </c>
      <c r="Y8" s="185" t="str">
        <f t="shared" si="12"/>
        <v/>
      </c>
      <c r="Z8" s="201" t="str">
        <f t="shared" si="13"/>
        <v/>
      </c>
      <c r="AA8" s="202">
        <f>IF(OR(O8="",O8=0),"",ROUND(-LN(0.75)/Company_RI!$D$31,0))</f>
        <v>8</v>
      </c>
      <c r="AB8" s="202">
        <f>IF(OR(O8="",O8=0),"",ROUND(-LN(0.5)/Company_RI!$D$31,0))</f>
        <v>18</v>
      </c>
      <c r="AC8" s="202">
        <f>IF(OR(O8="",O8=0),"",ROUND(-LN(0.25)/Company_RI!$D$31,0))</f>
        <v>36</v>
      </c>
      <c r="AD8" s="202">
        <f>IF(OR(O8="",O8=0),"",ROUND(-LN(0.05)/Company_RI!$D$31,0))</f>
        <v>78</v>
      </c>
      <c r="AE8" s="181" t="s">
        <v>596</v>
      </c>
      <c r="AF8" s="180" t="str">
        <f>IF('Top 10 Risks'!E11="","",'Top 10 Risks'!E11)</f>
        <v/>
      </c>
    </row>
    <row r="9" spans="1:32" ht="15" customHeight="1" x14ac:dyDescent="0.25">
      <c r="A9" s="179" t="str">
        <f>IF('Top 10 Risks'!D12="","",'Top 10 Risks'!C12)</f>
        <v/>
      </c>
      <c r="B9" s="180" t="str">
        <f>IF('Top 10 Risks'!D12="","",'Top 10 Risks'!D12)</f>
        <v/>
      </c>
      <c r="C9" s="179" t="str">
        <f>IF(RADAR!C9="","",RADAR!C9)</f>
        <v/>
      </c>
      <c r="D9" s="182" t="str">
        <f>IF(RADAR!D9="","",RADAR!D9)</f>
        <v/>
      </c>
      <c r="E9" s="183" t="str">
        <f>IF(RADAR!E9="","",RADAR!E9)</f>
        <v/>
      </c>
      <c r="F9" s="184" t="str">
        <f t="shared" si="0"/>
        <v/>
      </c>
      <c r="G9" s="185" t="str">
        <f t="shared" si="1"/>
        <v/>
      </c>
      <c r="H9" s="192"/>
      <c r="I9" s="56">
        <f>CORE!$D$36</f>
        <v>6.8849999999999998</v>
      </c>
      <c r="J9" s="56">
        <f>CORE!$D$44</f>
        <v>6.4749999999999996</v>
      </c>
      <c r="K9" s="199" t="str">
        <f>IF('Top 10 Risks'!D12="","",10*(IF(OR('Risk Control'!E11=FALSE(),'Risk Control'!E11=""),0,'Risk Control'!E11/4)*0.2+IF(OR('Risk Control'!L11=FALSE(),'Risk Control'!L11=""),0,'Risk Control'!L11/4)*0.15+IF(OR('Risk Control'!S11=FALSE(),'Risk Control'!S11=""),0,'Risk Control'!S11/5)*0.25+IF(OR('Risk Control'!AA11=FALSE(),'Risk Control'!AA11=""),0,'Risk Control'!AA11/5)*0.25+IF(OR('Risk Control'!AI11=FALSE(),'Risk Control'!AI11=""),0,'Risk Control'!AI11/5)*0.15))</f>
        <v/>
      </c>
      <c r="L9" s="200">
        <f t="shared" si="2"/>
        <v>0</v>
      </c>
      <c r="M9" s="56">
        <f>Company_RI!$F$22/10</f>
        <v>0.78</v>
      </c>
      <c r="N9" s="200">
        <f t="shared" si="3"/>
        <v>0</v>
      </c>
      <c r="O9" s="186" t="str">
        <f t="shared" si="4"/>
        <v/>
      </c>
      <c r="P9" s="185" t="str">
        <f t="shared" si="5"/>
        <v/>
      </c>
      <c r="Q9" s="184" t="str">
        <f t="shared" si="6"/>
        <v/>
      </c>
      <c r="R9" s="56" t="str">
        <f>IF(OR(O9="",O9=0),"",O9*Company_RI!$D$32)</f>
        <v/>
      </c>
      <c r="S9" s="187" t="str">
        <f t="shared" si="7"/>
        <v/>
      </c>
      <c r="T9" s="190" t="str">
        <f t="shared" si="8"/>
        <v/>
      </c>
      <c r="U9" s="186" t="str">
        <f t="shared" si="9"/>
        <v/>
      </c>
      <c r="V9" s="56">
        <f>Company_RI!$D$30</f>
        <v>0.19345000000000001</v>
      </c>
      <c r="W9" s="185" t="str">
        <f t="shared" si="10"/>
        <v/>
      </c>
      <c r="X9" s="185" t="str">
        <f t="shared" si="11"/>
        <v/>
      </c>
      <c r="Y9" s="185" t="str">
        <f t="shared" si="12"/>
        <v/>
      </c>
      <c r="Z9" s="201" t="str">
        <f t="shared" si="13"/>
        <v/>
      </c>
      <c r="AA9" s="202" t="str">
        <f>IF(OR(O9="",O9=0),"",ROUND(-LN(0.75)/Company_RI!$D$31,0))</f>
        <v/>
      </c>
      <c r="AB9" s="202" t="str">
        <f>IF(OR(O9="",O9=0),"",ROUND(-LN(0.5)/Company_RI!$D$31,0))</f>
        <v/>
      </c>
      <c r="AC9" s="202" t="str">
        <f>IF(OR(O9="",O9=0),"",ROUND(-LN(0.25)/Company_RI!$D$31,0))</f>
        <v/>
      </c>
      <c r="AD9" s="202" t="str">
        <f>IF(OR(O9="",O9=0),"",ROUND(-LN(0.05)/Company_RI!$D$31,0))</f>
        <v/>
      </c>
      <c r="AE9" s="192"/>
      <c r="AF9" s="180" t="str">
        <f>IF('Top 10 Risks'!E12="","",'Top 10 Risks'!E12)</f>
        <v/>
      </c>
    </row>
    <row r="10" spans="1:32" ht="15" customHeight="1" x14ac:dyDescent="0.25">
      <c r="A10" s="179" t="str">
        <f>IF('Top 10 Risks'!D13="","",'Top 10 Risks'!C13)</f>
        <v/>
      </c>
      <c r="B10" s="180" t="str">
        <f>IF('Top 10 Risks'!D13="","",'Top 10 Risks'!D13)</f>
        <v/>
      </c>
      <c r="C10" s="179" t="str">
        <f>IF(RADAR!C10="","",RADAR!C10)</f>
        <v/>
      </c>
      <c r="D10" s="182" t="str">
        <f>IF(RADAR!D10="","",RADAR!D10)</f>
        <v/>
      </c>
      <c r="E10" s="183" t="str">
        <f>IF(RADAR!E10="","",RADAR!E10)</f>
        <v/>
      </c>
      <c r="F10" s="184" t="str">
        <f t="shared" si="0"/>
        <v/>
      </c>
      <c r="G10" s="185" t="str">
        <f t="shared" si="1"/>
        <v/>
      </c>
      <c r="H10" s="192"/>
      <c r="I10" s="56">
        <f>CORE!$D$36</f>
        <v>6.8849999999999998</v>
      </c>
      <c r="J10" s="56">
        <f>CORE!$D$44</f>
        <v>6.4749999999999996</v>
      </c>
      <c r="K10" s="199" t="str">
        <f>IF('Top 10 Risks'!D13="","",10*(IF(OR('Risk Control'!E12=FALSE(),'Risk Control'!E12=""),0,'Risk Control'!E12/4)*0.2+IF(OR('Risk Control'!L12=FALSE(),'Risk Control'!L12=""),0,'Risk Control'!L12/4)*0.15+IF(OR('Risk Control'!S12=FALSE(),'Risk Control'!S12=""),0,'Risk Control'!S12/5)*0.25+IF(OR('Risk Control'!AA12=FALSE(),'Risk Control'!AA12=""),0,'Risk Control'!AA12/5)*0.25+IF(OR('Risk Control'!AI12=FALSE(),'Risk Control'!AI12=""),0,'Risk Control'!AI12/5)*0.15))</f>
        <v/>
      </c>
      <c r="L10" s="200">
        <f t="shared" si="2"/>
        <v>0</v>
      </c>
      <c r="M10" s="56">
        <f>Company_RI!$F$22/10</f>
        <v>0.78</v>
      </c>
      <c r="N10" s="200">
        <f t="shared" si="3"/>
        <v>0</v>
      </c>
      <c r="O10" s="186" t="str">
        <f t="shared" si="4"/>
        <v/>
      </c>
      <c r="P10" s="185" t="str">
        <f t="shared" si="5"/>
        <v/>
      </c>
      <c r="Q10" s="184" t="str">
        <f t="shared" si="6"/>
        <v/>
      </c>
      <c r="R10" s="56" t="str">
        <f>IF(OR(O10="",O10=0),"",O10*Company_RI!$D$32)</f>
        <v/>
      </c>
      <c r="S10" s="187" t="str">
        <f t="shared" si="7"/>
        <v/>
      </c>
      <c r="T10" s="190" t="str">
        <f t="shared" si="8"/>
        <v/>
      </c>
      <c r="U10" s="186" t="str">
        <f t="shared" si="9"/>
        <v/>
      </c>
      <c r="V10" s="56">
        <f>Company_RI!$D$30</f>
        <v>0.19345000000000001</v>
      </c>
      <c r="W10" s="185" t="str">
        <f t="shared" si="10"/>
        <v/>
      </c>
      <c r="X10" s="185" t="str">
        <f t="shared" si="11"/>
        <v/>
      </c>
      <c r="Y10" s="185" t="str">
        <f t="shared" si="12"/>
        <v/>
      </c>
      <c r="Z10" s="201" t="str">
        <f t="shared" si="13"/>
        <v/>
      </c>
      <c r="AA10" s="202" t="str">
        <f>IF(OR(O10="",O10=0),"",ROUND(-LN(0.75)/Company_RI!$D$31,0))</f>
        <v/>
      </c>
      <c r="AB10" s="202" t="str">
        <f>IF(OR(O10="",O10=0),"",ROUND(-LN(0.5)/Company_RI!$D$31,0))</f>
        <v/>
      </c>
      <c r="AC10" s="202" t="str">
        <f>IF(OR(O10="",O10=0),"",ROUND(-LN(0.25)/Company_RI!$D$31,0))</f>
        <v/>
      </c>
      <c r="AD10" s="202" t="str">
        <f>IF(OR(O10="",O10=0),"",ROUND(-LN(0.05)/Company_RI!$D$31,0))</f>
        <v/>
      </c>
      <c r="AE10" s="192"/>
      <c r="AF10" s="180" t="str">
        <f>IF('Top 10 Risks'!E13="","",'Top 10 Risks'!E13)</f>
        <v/>
      </c>
    </row>
    <row r="11" spans="1:32" ht="15" customHeight="1" x14ac:dyDescent="0.25">
      <c r="A11" s="179" t="str">
        <f>IF('Top 10 Risks'!D14="","",'Top 10 Risks'!C14)</f>
        <v/>
      </c>
      <c r="B11" s="180" t="str">
        <f>IF('Top 10 Risks'!D14="","",'Top 10 Risks'!D14)</f>
        <v/>
      </c>
      <c r="C11" s="179" t="str">
        <f>IF(RADAR!C11="","",RADAR!C11)</f>
        <v/>
      </c>
      <c r="D11" s="182" t="str">
        <f>IF(RADAR!D11="","",RADAR!D11)</f>
        <v/>
      </c>
      <c r="E11" s="183" t="str">
        <f>IF(RADAR!E11="","",RADAR!E11)</f>
        <v/>
      </c>
      <c r="F11" s="184" t="str">
        <f t="shared" si="0"/>
        <v/>
      </c>
      <c r="G11" s="185" t="str">
        <f t="shared" si="1"/>
        <v/>
      </c>
      <c r="H11" s="192"/>
      <c r="I11" s="56">
        <f>CORE!$D$36</f>
        <v>6.8849999999999998</v>
      </c>
      <c r="J11" s="56">
        <f>CORE!$D$44</f>
        <v>6.4749999999999996</v>
      </c>
      <c r="K11" s="199" t="str">
        <f>IF('Top 10 Risks'!D14="","",10*(IF(OR('Risk Control'!E13=FALSE(),'Risk Control'!E13=""),0,'Risk Control'!E13/4)*0.2+IF(OR('Risk Control'!L13=FALSE(),'Risk Control'!L13=""),0,'Risk Control'!L13/4)*0.15+IF(OR('Risk Control'!S13=FALSE(),'Risk Control'!S13=""),0,'Risk Control'!S13/5)*0.25+IF(OR('Risk Control'!AA13=FALSE(),'Risk Control'!AA13=""),0,'Risk Control'!AA13/5)*0.25+IF(OR('Risk Control'!AI13=FALSE(),'Risk Control'!AI13=""),0,'Risk Control'!AI13/5)*0.15))</f>
        <v/>
      </c>
      <c r="L11" s="200">
        <f t="shared" si="2"/>
        <v>0</v>
      </c>
      <c r="M11" s="56">
        <f>Company_RI!$F$22/10</f>
        <v>0.78</v>
      </c>
      <c r="N11" s="200">
        <f t="shared" si="3"/>
        <v>0</v>
      </c>
      <c r="O11" s="186" t="str">
        <f t="shared" si="4"/>
        <v/>
      </c>
      <c r="P11" s="185" t="str">
        <f t="shared" si="5"/>
        <v/>
      </c>
      <c r="Q11" s="184" t="str">
        <f t="shared" si="6"/>
        <v/>
      </c>
      <c r="R11" s="56" t="str">
        <f>IF(OR(O11="",O11=0),"",O11*Company_RI!$D$32)</f>
        <v/>
      </c>
      <c r="S11" s="187" t="str">
        <f t="shared" si="7"/>
        <v/>
      </c>
      <c r="T11" s="190" t="str">
        <f t="shared" si="8"/>
        <v/>
      </c>
      <c r="U11" s="186" t="str">
        <f t="shared" si="9"/>
        <v/>
      </c>
      <c r="V11" s="56">
        <f>Company_RI!$D$30</f>
        <v>0.19345000000000001</v>
      </c>
      <c r="W11" s="185" t="str">
        <f t="shared" si="10"/>
        <v/>
      </c>
      <c r="X11" s="185" t="str">
        <f t="shared" si="11"/>
        <v/>
      </c>
      <c r="Y11" s="185" t="str">
        <f t="shared" si="12"/>
        <v/>
      </c>
      <c r="Z11" s="201" t="str">
        <f t="shared" si="13"/>
        <v/>
      </c>
      <c r="AA11" s="202" t="str">
        <f>IF(OR(O11="",O11=0),"",ROUND(-LN(0.75)/Company_RI!$D$31,0))</f>
        <v/>
      </c>
      <c r="AB11" s="202" t="str">
        <f>IF(OR(O11="",O11=0),"",ROUND(-LN(0.5)/Company_RI!$D$31,0))</f>
        <v/>
      </c>
      <c r="AC11" s="202" t="str">
        <f>IF(OR(O11="",O11=0),"",ROUND(-LN(0.25)/Company_RI!$D$31,0))</f>
        <v/>
      </c>
      <c r="AD11" s="202" t="str">
        <f>IF(OR(O11="",O11=0),"",ROUND(-LN(0.05)/Company_RI!$D$31,0))</f>
        <v/>
      </c>
      <c r="AE11" s="192"/>
      <c r="AF11" s="180" t="str">
        <f>IF('Top 10 Risks'!E14="","",'Top 10 Risks'!E14)</f>
        <v/>
      </c>
    </row>
    <row r="12" spans="1:32" ht="15" customHeight="1" x14ac:dyDescent="0.25">
      <c r="A12" s="179" t="str">
        <f>IF('Top 10 Risks'!D15="","",'Top 10 Risks'!C15)</f>
        <v/>
      </c>
      <c r="B12" s="180" t="str">
        <f>IF('Top 10 Risks'!D15="","",'Top 10 Risks'!D15)</f>
        <v/>
      </c>
      <c r="C12" s="179" t="str">
        <f>IF(RADAR!C12="","",RADAR!C12)</f>
        <v/>
      </c>
      <c r="D12" s="182" t="str">
        <f>IF(RADAR!D12="","",RADAR!D12)</f>
        <v/>
      </c>
      <c r="E12" s="183" t="str">
        <f>IF(RADAR!E12="","",RADAR!E12)</f>
        <v/>
      </c>
      <c r="F12" s="184" t="str">
        <f t="shared" si="0"/>
        <v/>
      </c>
      <c r="G12" s="185" t="str">
        <f t="shared" si="1"/>
        <v/>
      </c>
      <c r="H12" s="192"/>
      <c r="I12" s="56">
        <f>CORE!$D$36</f>
        <v>6.8849999999999998</v>
      </c>
      <c r="J12" s="56">
        <f>CORE!$D$44</f>
        <v>6.4749999999999996</v>
      </c>
      <c r="K12" s="199" t="str">
        <f>IF('Top 10 Risks'!D15="","",10*(IF(OR('Risk Control'!E14=FALSE(),'Risk Control'!E14=""),0,'Risk Control'!E14/4)*0.2+IF(OR('Risk Control'!L14=FALSE(),'Risk Control'!L14=""),0,'Risk Control'!L14/4)*0.15+IF(OR('Risk Control'!S14=FALSE(),'Risk Control'!S14=""),0,'Risk Control'!S14/5)*0.25+IF(OR('Risk Control'!AA14=FALSE(),'Risk Control'!AA14=""),0,'Risk Control'!AA14/5)*0.25+IF(OR('Risk Control'!AI14=FALSE(),'Risk Control'!AI14=""),0,'Risk Control'!AI14/5)*0.15))</f>
        <v/>
      </c>
      <c r="L12" s="200">
        <f t="shared" si="2"/>
        <v>0</v>
      </c>
      <c r="M12" s="56">
        <f>Company_RI!$F$22/10</f>
        <v>0.78</v>
      </c>
      <c r="N12" s="200">
        <f t="shared" si="3"/>
        <v>0</v>
      </c>
      <c r="O12" s="186" t="str">
        <f t="shared" si="4"/>
        <v/>
      </c>
      <c r="P12" s="185" t="str">
        <f t="shared" si="5"/>
        <v/>
      </c>
      <c r="Q12" s="184" t="str">
        <f t="shared" si="6"/>
        <v/>
      </c>
      <c r="R12" s="56" t="str">
        <f>IF(OR(O12="",O12=0),"",O12*Company_RI!$D$32)</f>
        <v/>
      </c>
      <c r="S12" s="187" t="str">
        <f t="shared" si="7"/>
        <v/>
      </c>
      <c r="T12" s="190" t="str">
        <f t="shared" si="8"/>
        <v/>
      </c>
      <c r="U12" s="186" t="str">
        <f t="shared" si="9"/>
        <v/>
      </c>
      <c r="V12" s="56">
        <f>Company_RI!$D$30</f>
        <v>0.19345000000000001</v>
      </c>
      <c r="W12" s="185" t="str">
        <f t="shared" si="10"/>
        <v/>
      </c>
      <c r="X12" s="185" t="str">
        <f t="shared" si="11"/>
        <v/>
      </c>
      <c r="Y12" s="185" t="str">
        <f t="shared" si="12"/>
        <v/>
      </c>
      <c r="Z12" s="201" t="str">
        <f t="shared" si="13"/>
        <v/>
      </c>
      <c r="AA12" s="202" t="str">
        <f>IF(OR(O12="",O12=0),"",ROUND(-LN(0.75)/Company_RI!$D$31,0))</f>
        <v/>
      </c>
      <c r="AB12" s="202" t="str">
        <f>IF(OR(O12="",O12=0),"",ROUND(-LN(0.5)/Company_RI!$D$31,0))</f>
        <v/>
      </c>
      <c r="AC12" s="202" t="str">
        <f>IF(OR(O12="",O12=0),"",ROUND(-LN(0.25)/Company_RI!$D$31,0))</f>
        <v/>
      </c>
      <c r="AD12" s="202" t="str">
        <f>IF(OR(O12="",O12=0),"",ROUND(-LN(0.05)/Company_RI!$D$31,0))</f>
        <v/>
      </c>
      <c r="AE12" s="192"/>
      <c r="AF12" s="180" t="str">
        <f>IF('Top 10 Risks'!E15="","",'Top 10 Risks'!E15)</f>
        <v/>
      </c>
    </row>
    <row r="13" spans="1:32" ht="15" customHeight="1" x14ac:dyDescent="0.25">
      <c r="A13" s="179" t="str">
        <f>IF('Top 10 Risks'!D16="","",'Top 10 Risks'!C16)</f>
        <v/>
      </c>
      <c r="B13" s="180" t="str">
        <f>IF('Top 10 Risks'!D16="","",'Top 10 Risks'!D16)</f>
        <v/>
      </c>
      <c r="C13" s="179" t="str">
        <f>IF(RADAR!C13="","",RADAR!C13)</f>
        <v/>
      </c>
      <c r="D13" s="182" t="str">
        <f>IF(RADAR!D13="","",RADAR!D13)</f>
        <v/>
      </c>
      <c r="E13" s="183" t="str">
        <f>IF(RADAR!E13="","",RADAR!E13)</f>
        <v/>
      </c>
      <c r="F13" s="184" t="str">
        <f t="shared" si="0"/>
        <v/>
      </c>
      <c r="G13" s="185" t="str">
        <f t="shared" si="1"/>
        <v/>
      </c>
      <c r="H13" s="192"/>
      <c r="I13" s="56">
        <f>CORE!$D$36</f>
        <v>6.8849999999999998</v>
      </c>
      <c r="J13" s="56">
        <f>CORE!$D$44</f>
        <v>6.4749999999999996</v>
      </c>
      <c r="K13" s="199" t="str">
        <f>IF('Top 10 Risks'!D16="","",10*(IF(OR('Risk Control'!E15=FALSE(),'Risk Control'!E15=""),0,'Risk Control'!E15/4)*0.2+IF(OR('Risk Control'!L15=FALSE(),'Risk Control'!L15=""),0,'Risk Control'!L15/4)*0.15+IF(OR('Risk Control'!S15=FALSE(),'Risk Control'!S15=""),0,'Risk Control'!S15/5)*0.25+IF(OR('Risk Control'!AA15=FALSE(),'Risk Control'!AA15=""),0,'Risk Control'!AA15/5)*0.25+IF(OR('Risk Control'!AI15=FALSE(),'Risk Control'!AI15=""),0,'Risk Control'!AI15/5)*0.15))</f>
        <v/>
      </c>
      <c r="L13" s="200">
        <f t="shared" si="2"/>
        <v>0</v>
      </c>
      <c r="M13" s="56">
        <f>Company_RI!$F$22/10</f>
        <v>0.78</v>
      </c>
      <c r="N13" s="200">
        <f t="shared" si="3"/>
        <v>0</v>
      </c>
      <c r="O13" s="186" t="str">
        <f t="shared" si="4"/>
        <v/>
      </c>
      <c r="P13" s="185" t="str">
        <f t="shared" si="5"/>
        <v/>
      </c>
      <c r="Q13" s="184" t="str">
        <f t="shared" si="6"/>
        <v/>
      </c>
      <c r="R13" s="56" t="str">
        <f>IF(OR(O13="",O13=0),"",O13*Company_RI!$D$32)</f>
        <v/>
      </c>
      <c r="S13" s="187" t="str">
        <f t="shared" si="7"/>
        <v/>
      </c>
      <c r="T13" s="190" t="str">
        <f t="shared" si="8"/>
        <v/>
      </c>
      <c r="U13" s="186" t="str">
        <f t="shared" si="9"/>
        <v/>
      </c>
      <c r="V13" s="56">
        <f>Company_RI!$D$30</f>
        <v>0.19345000000000001</v>
      </c>
      <c r="W13" s="185" t="str">
        <f t="shared" si="10"/>
        <v/>
      </c>
      <c r="X13" s="185" t="str">
        <f t="shared" si="11"/>
        <v/>
      </c>
      <c r="Y13" s="185" t="str">
        <f t="shared" si="12"/>
        <v/>
      </c>
      <c r="Z13" s="201" t="str">
        <f t="shared" si="13"/>
        <v/>
      </c>
      <c r="AA13" s="202" t="str">
        <f>IF(OR(O13="",O13=0),"",ROUND(-LN(0.75)/Company_RI!$D$31,0))</f>
        <v/>
      </c>
      <c r="AB13" s="202" t="str">
        <f>IF(OR(O13="",O13=0),"",ROUND(-LN(0.5)/Company_RI!$D$31,0))</f>
        <v/>
      </c>
      <c r="AC13" s="202" t="str">
        <f>IF(OR(O13="",O13=0),"",ROUND(-LN(0.25)/Company_RI!$D$31,0))</f>
        <v/>
      </c>
      <c r="AD13" s="202" t="str">
        <f>IF(OR(O13="",O13=0),"",ROUND(-LN(0.05)/Company_RI!$D$31,0))</f>
        <v/>
      </c>
      <c r="AE13" s="192"/>
      <c r="AF13" s="180" t="str">
        <f>IF('Top 10 Risks'!E16="","",'Top 10 Risks'!E16)</f>
        <v/>
      </c>
    </row>
    <row r="14" spans="1:32" ht="15" customHeight="1" x14ac:dyDescent="0.25">
      <c r="A14" s="179" t="str">
        <f>IF('Top 10 Risks'!D17="","",'Top 10 Risks'!C17)</f>
        <v/>
      </c>
      <c r="B14" s="180" t="str">
        <f>IF('Top 10 Risks'!D17="","",'Top 10 Risks'!D17)</f>
        <v/>
      </c>
      <c r="C14" s="179" t="str">
        <f>IF(RADAR!C14="","",RADAR!C14)</f>
        <v/>
      </c>
      <c r="D14" s="182" t="str">
        <f>IF(RADAR!D14="","",RADAR!D14)</f>
        <v/>
      </c>
      <c r="E14" s="183" t="str">
        <f>IF(RADAR!E14="","",RADAR!E14)</f>
        <v/>
      </c>
      <c r="F14" s="184" t="str">
        <f t="shared" si="0"/>
        <v/>
      </c>
      <c r="G14" s="185" t="str">
        <f t="shared" si="1"/>
        <v/>
      </c>
      <c r="H14" s="192"/>
      <c r="I14" s="56">
        <f>CORE!$D$36</f>
        <v>6.8849999999999998</v>
      </c>
      <c r="J14" s="56">
        <f>CORE!$D$44</f>
        <v>6.4749999999999996</v>
      </c>
      <c r="K14" s="199" t="str">
        <f>IF('Top 10 Risks'!D17="","",10*(IF(OR('Risk Control'!E16=FALSE(),'Risk Control'!E16=""),0,'Risk Control'!E16/4)*0.2+IF(OR('Risk Control'!L16=FALSE(),'Risk Control'!L16=""),0,'Risk Control'!L16/4)*0.15+IF(OR('Risk Control'!S16=FALSE(),'Risk Control'!S16=""),0,'Risk Control'!S16/5)*0.25+IF(OR('Risk Control'!AA16=FALSE(),'Risk Control'!AA16=""),0,'Risk Control'!AA16/5)*0.25+IF(OR('Risk Control'!AI16=FALSE(),'Risk Control'!AI16=""),0,'Risk Control'!AI16/5)*0.15))</f>
        <v/>
      </c>
      <c r="L14" s="200">
        <f t="shared" si="2"/>
        <v>0</v>
      </c>
      <c r="M14" s="56">
        <f>Company_RI!$F$22/10</f>
        <v>0.78</v>
      </c>
      <c r="N14" s="200">
        <f t="shared" si="3"/>
        <v>0</v>
      </c>
      <c r="O14" s="186" t="str">
        <f t="shared" si="4"/>
        <v/>
      </c>
      <c r="P14" s="185" t="str">
        <f t="shared" si="5"/>
        <v/>
      </c>
      <c r="Q14" s="184" t="str">
        <f t="shared" si="6"/>
        <v/>
      </c>
      <c r="R14" s="56" t="str">
        <f>IF(OR(O14="",O14=0),"",O14*Company_RI!$D$32)</f>
        <v/>
      </c>
      <c r="S14" s="187" t="str">
        <f t="shared" si="7"/>
        <v/>
      </c>
      <c r="T14" s="190" t="str">
        <f t="shared" si="8"/>
        <v/>
      </c>
      <c r="U14" s="186" t="str">
        <f t="shared" si="9"/>
        <v/>
      </c>
      <c r="V14" s="56">
        <f>Company_RI!$D$30</f>
        <v>0.19345000000000001</v>
      </c>
      <c r="W14" s="185" t="str">
        <f t="shared" si="10"/>
        <v/>
      </c>
      <c r="X14" s="185" t="str">
        <f t="shared" si="11"/>
        <v/>
      </c>
      <c r="Y14" s="185" t="str">
        <f t="shared" si="12"/>
        <v/>
      </c>
      <c r="Z14" s="201" t="str">
        <f t="shared" si="13"/>
        <v/>
      </c>
      <c r="AA14" s="202" t="str">
        <f>IF(OR(O14="",O14=0),"",ROUND(-LN(0.75)/Company_RI!$D$31,0))</f>
        <v/>
      </c>
      <c r="AB14" s="202" t="str">
        <f>IF(OR(O14="",O14=0),"",ROUND(-LN(0.5)/Company_RI!$D$31,0))</f>
        <v/>
      </c>
      <c r="AC14" s="202" t="str">
        <f>IF(OR(O14="",O14=0),"",ROUND(-LN(0.25)/Company_RI!$D$31,0))</f>
        <v/>
      </c>
      <c r="AD14" s="202" t="str">
        <f>IF(OR(O14="",O14=0),"",ROUND(-LN(0.05)/Company_RI!$D$31,0))</f>
        <v/>
      </c>
      <c r="AE14" s="192"/>
      <c r="AF14" s="180" t="str">
        <f>IF('Top 10 Risks'!E17="","",'Top 10 Risks'!E17)</f>
        <v/>
      </c>
    </row>
    <row r="15" spans="1:32" ht="15" customHeight="1" x14ac:dyDescent="0.25">
      <c r="A15" s="179" t="str">
        <f>IF('Top 10 Risks'!D18="","",'Top 10 Risks'!C18)</f>
        <v/>
      </c>
      <c r="B15" s="180" t="str">
        <f>IF('Top 10 Risks'!D18="","",'Top 10 Risks'!D18)</f>
        <v/>
      </c>
      <c r="C15" s="179" t="str">
        <f>IF(RADAR!C15="","",RADAR!C15)</f>
        <v/>
      </c>
      <c r="D15" s="182" t="str">
        <f>IF(RADAR!D15="","",RADAR!D15)</f>
        <v/>
      </c>
      <c r="E15" s="183" t="str">
        <f>IF(RADAR!E15="","",RADAR!E15)</f>
        <v/>
      </c>
      <c r="F15" s="184" t="str">
        <f t="shared" si="0"/>
        <v/>
      </c>
      <c r="G15" s="185" t="str">
        <f t="shared" si="1"/>
        <v/>
      </c>
      <c r="H15" s="192"/>
      <c r="I15" s="56">
        <f>CORE!$D$36</f>
        <v>6.8849999999999998</v>
      </c>
      <c r="J15" s="56">
        <f>CORE!$D$44</f>
        <v>6.4749999999999996</v>
      </c>
      <c r="K15" s="199" t="str">
        <f>IF('Top 10 Risks'!D18="","",10*(IF(OR('Risk Control'!E17=FALSE(),'Risk Control'!E17=""),0,'Risk Control'!E17/4)*0.2+IF(OR('Risk Control'!L17=FALSE(),'Risk Control'!L17=""),0,'Risk Control'!L17/4)*0.15+IF(OR('Risk Control'!S17=FALSE(),'Risk Control'!S17=""),0,'Risk Control'!S17/5)*0.25+IF(OR('Risk Control'!AA17=FALSE(),'Risk Control'!AA17=""),0,'Risk Control'!AA17/5)*0.25+IF(OR('Risk Control'!AI17=FALSE(),'Risk Control'!AI17=""),0,'Risk Control'!AI17/5)*0.15))</f>
        <v/>
      </c>
      <c r="L15" s="200">
        <f t="shared" si="2"/>
        <v>0</v>
      </c>
      <c r="M15" s="56">
        <f>Company_RI!$F$22/10</f>
        <v>0.78</v>
      </c>
      <c r="N15" s="200">
        <f t="shared" si="3"/>
        <v>0</v>
      </c>
      <c r="O15" s="186" t="str">
        <f t="shared" si="4"/>
        <v/>
      </c>
      <c r="P15" s="185" t="str">
        <f t="shared" si="5"/>
        <v/>
      </c>
      <c r="Q15" s="184" t="str">
        <f t="shared" si="6"/>
        <v/>
      </c>
      <c r="R15" s="56" t="str">
        <f>IF(OR(O15="",O15=0),"",O15*Company_RI!$D$32)</f>
        <v/>
      </c>
      <c r="S15" s="187" t="str">
        <f t="shared" si="7"/>
        <v/>
      </c>
      <c r="T15" s="190" t="str">
        <f t="shared" si="8"/>
        <v/>
      </c>
      <c r="U15" s="186" t="str">
        <f t="shared" si="9"/>
        <v/>
      </c>
      <c r="V15" s="56">
        <f>Company_RI!$D$30</f>
        <v>0.19345000000000001</v>
      </c>
      <c r="W15" s="185" t="str">
        <f t="shared" si="10"/>
        <v/>
      </c>
      <c r="X15" s="185" t="str">
        <f t="shared" si="11"/>
        <v/>
      </c>
      <c r="Y15" s="185" t="str">
        <f t="shared" si="12"/>
        <v/>
      </c>
      <c r="Z15" s="201" t="str">
        <f t="shared" si="13"/>
        <v/>
      </c>
      <c r="AA15" s="202" t="str">
        <f>IF(OR(O15="",O15=0),"",ROUND(-LN(0.75)/Company_RI!$D$31,0))</f>
        <v/>
      </c>
      <c r="AB15" s="202" t="str">
        <f>IF(OR(O15="",O15=0),"",ROUND(-LN(0.5)/Company_RI!$D$31,0))</f>
        <v/>
      </c>
      <c r="AC15" s="202" t="str">
        <f>IF(OR(O15="",O15=0),"",ROUND(-LN(0.25)/Company_RI!$D$31,0))</f>
        <v/>
      </c>
      <c r="AD15" s="202" t="str">
        <f>IF(OR(O15="",O15=0),"",ROUND(-LN(0.05)/Company_RI!$D$31,0))</f>
        <v/>
      </c>
      <c r="AE15" s="192"/>
      <c r="AF15" s="180" t="str">
        <f>IF('Top 10 Risks'!E18="","",'Top 10 Risks'!E18)</f>
        <v/>
      </c>
    </row>
    <row r="16" spans="1:32" ht="15" customHeight="1" x14ac:dyDescent="0.25">
      <c r="A16" s="179" t="str">
        <f>IF('Top 10 Risks'!D19="","",'Top 10 Risks'!C19)</f>
        <v/>
      </c>
      <c r="B16" s="180" t="str">
        <f>IF('Top 10 Risks'!D19="","",'Top 10 Risks'!D19)</f>
        <v/>
      </c>
      <c r="C16" s="179" t="str">
        <f>IF(RADAR!C16="","",RADAR!C16)</f>
        <v/>
      </c>
      <c r="D16" s="182" t="str">
        <f>IF(RADAR!D16="","",RADAR!D16)</f>
        <v/>
      </c>
      <c r="E16" s="183" t="str">
        <f>IF(RADAR!E16="","",RADAR!E16)</f>
        <v/>
      </c>
      <c r="F16" s="184" t="str">
        <f t="shared" si="0"/>
        <v/>
      </c>
      <c r="G16" s="185" t="str">
        <f t="shared" si="1"/>
        <v/>
      </c>
      <c r="H16" s="192"/>
      <c r="I16" s="56">
        <f>CORE!$D$36</f>
        <v>6.8849999999999998</v>
      </c>
      <c r="J16" s="56">
        <f>CORE!$D$44</f>
        <v>6.4749999999999996</v>
      </c>
      <c r="K16" s="199" t="str">
        <f>IF('Top 10 Risks'!D19="","",10*(IF(OR('Risk Control'!E18=FALSE(),'Risk Control'!E18=""),0,'Risk Control'!E18/4)*0.2+IF(OR('Risk Control'!L18=FALSE(),'Risk Control'!L18=""),0,'Risk Control'!L18/4)*0.15+IF(OR('Risk Control'!S18=FALSE(),'Risk Control'!S18=""),0,'Risk Control'!S18/5)*0.25+IF(OR('Risk Control'!AA18=FALSE(),'Risk Control'!AA18=""),0,'Risk Control'!AA18/5)*0.25+IF(OR('Risk Control'!AI18=FALSE(),'Risk Control'!AI18=""),0,'Risk Control'!AI18/5)*0.15))</f>
        <v/>
      </c>
      <c r="L16" s="200">
        <f t="shared" si="2"/>
        <v>0</v>
      </c>
      <c r="M16" s="56">
        <f>Company_RI!$F$22/10</f>
        <v>0.78</v>
      </c>
      <c r="N16" s="200">
        <f t="shared" si="3"/>
        <v>0</v>
      </c>
      <c r="O16" s="186" t="str">
        <f t="shared" si="4"/>
        <v/>
      </c>
      <c r="P16" s="185" t="str">
        <f t="shared" si="5"/>
        <v/>
      </c>
      <c r="Q16" s="184" t="str">
        <f t="shared" si="6"/>
        <v/>
      </c>
      <c r="R16" s="56" t="str">
        <f>IF(OR(O16="",O16=0),"",O16*Company_RI!$D$32)</f>
        <v/>
      </c>
      <c r="S16" s="187" t="str">
        <f t="shared" si="7"/>
        <v/>
      </c>
      <c r="T16" s="190" t="str">
        <f t="shared" si="8"/>
        <v/>
      </c>
      <c r="U16" s="186" t="str">
        <f t="shared" si="9"/>
        <v/>
      </c>
      <c r="V16" s="56">
        <f>Company_RI!$D$30</f>
        <v>0.19345000000000001</v>
      </c>
      <c r="W16" s="185" t="str">
        <f t="shared" si="10"/>
        <v/>
      </c>
      <c r="X16" s="185" t="str">
        <f t="shared" si="11"/>
        <v/>
      </c>
      <c r="Y16" s="185" t="str">
        <f t="shared" si="12"/>
        <v/>
      </c>
      <c r="Z16" s="201" t="str">
        <f t="shared" si="13"/>
        <v/>
      </c>
      <c r="AA16" s="202" t="str">
        <f>IF(OR(O16="",O16=0),"",ROUND(-LN(0.75)/Company_RI!$D$31,0))</f>
        <v/>
      </c>
      <c r="AB16" s="202" t="str">
        <f>IF(OR(O16="",O16=0),"",ROUND(-LN(0.5)/Company_RI!$D$31,0))</f>
        <v/>
      </c>
      <c r="AC16" s="202" t="str">
        <f>IF(OR(O16="",O16=0),"",ROUND(-LN(0.25)/Company_RI!$D$31,0))</f>
        <v/>
      </c>
      <c r="AD16" s="202" t="str">
        <f>IF(OR(O16="",O16=0),"",ROUND(-LN(0.05)/Company_RI!$D$31,0))</f>
        <v/>
      </c>
      <c r="AE16" s="192"/>
      <c r="AF16" s="180" t="str">
        <f>IF('Top 10 Risks'!E19="","",'Top 10 Risks'!E19)</f>
        <v/>
      </c>
    </row>
    <row r="17" spans="1:32" ht="15" customHeight="1" x14ac:dyDescent="0.25">
      <c r="A17" s="179" t="str">
        <f>IF('Top 10 Risks'!D20="","",'Top 10 Risks'!C20)</f>
        <v/>
      </c>
      <c r="B17" s="180" t="str">
        <f>IF('Top 10 Risks'!D20="","",'Top 10 Risks'!D20)</f>
        <v/>
      </c>
      <c r="C17" s="179" t="str">
        <f>IF(RADAR!C17="","",RADAR!C17)</f>
        <v/>
      </c>
      <c r="D17" s="182" t="str">
        <f>IF(RADAR!D17="","",RADAR!D17)</f>
        <v/>
      </c>
      <c r="E17" s="183" t="str">
        <f>IF(RADAR!E17="","",RADAR!E17)</f>
        <v/>
      </c>
      <c r="F17" s="184" t="str">
        <f t="shared" si="0"/>
        <v/>
      </c>
      <c r="G17" s="185" t="str">
        <f t="shared" si="1"/>
        <v/>
      </c>
      <c r="H17" s="192"/>
      <c r="I17" s="56">
        <f>CORE!$D$36</f>
        <v>6.8849999999999998</v>
      </c>
      <c r="J17" s="56">
        <f>CORE!$D$44</f>
        <v>6.4749999999999996</v>
      </c>
      <c r="K17" s="199" t="str">
        <f>IF('Top 10 Risks'!D20="","",10*(IF(OR('Risk Control'!E19=FALSE(),'Risk Control'!E19=""),0,'Risk Control'!E19/4)*0.2+IF(OR('Risk Control'!L19=FALSE(),'Risk Control'!L19=""),0,'Risk Control'!L19/4)*0.15+IF(OR('Risk Control'!S19=FALSE(),'Risk Control'!S19=""),0,'Risk Control'!S19/5)*0.25+IF(OR('Risk Control'!AA19=FALSE(),'Risk Control'!AA19=""),0,'Risk Control'!AA19/5)*0.25+IF(OR('Risk Control'!AI19=FALSE(),'Risk Control'!AI19=""),0,'Risk Control'!AI19/5)*0.15))</f>
        <v/>
      </c>
      <c r="L17" s="200">
        <f t="shared" si="2"/>
        <v>0</v>
      </c>
      <c r="M17" s="56">
        <f>Company_RI!$F$22/10</f>
        <v>0.78</v>
      </c>
      <c r="N17" s="200">
        <f t="shared" si="3"/>
        <v>0</v>
      </c>
      <c r="O17" s="186" t="str">
        <f t="shared" si="4"/>
        <v/>
      </c>
      <c r="P17" s="185" t="str">
        <f t="shared" si="5"/>
        <v/>
      </c>
      <c r="Q17" s="184" t="str">
        <f t="shared" si="6"/>
        <v/>
      </c>
      <c r="R17" s="56" t="str">
        <f>IF(OR(O17="",O17=0),"",O17*Company_RI!$D$32)</f>
        <v/>
      </c>
      <c r="S17" s="187" t="str">
        <f t="shared" si="7"/>
        <v/>
      </c>
      <c r="T17" s="190" t="str">
        <f t="shared" si="8"/>
        <v/>
      </c>
      <c r="U17" s="186" t="str">
        <f t="shared" si="9"/>
        <v/>
      </c>
      <c r="V17" s="56">
        <f>Company_RI!$D$30</f>
        <v>0.19345000000000001</v>
      </c>
      <c r="W17" s="185" t="str">
        <f t="shared" si="10"/>
        <v/>
      </c>
      <c r="X17" s="185" t="str">
        <f t="shared" si="11"/>
        <v/>
      </c>
      <c r="Y17" s="185" t="str">
        <f t="shared" si="12"/>
        <v/>
      </c>
      <c r="Z17" s="201" t="str">
        <f t="shared" si="13"/>
        <v/>
      </c>
      <c r="AA17" s="202" t="str">
        <f>IF(OR(O17="",O17=0),"",ROUND(-LN(0.75)/Company_RI!$D$31,0))</f>
        <v/>
      </c>
      <c r="AB17" s="202" t="str">
        <f>IF(OR(O17="",O17=0),"",ROUND(-LN(0.5)/Company_RI!$D$31,0))</f>
        <v/>
      </c>
      <c r="AC17" s="202" t="str">
        <f>IF(OR(O17="",O17=0),"",ROUND(-LN(0.25)/Company_RI!$D$31,0))</f>
        <v/>
      </c>
      <c r="AD17" s="202" t="str">
        <f>IF(OR(O17="",O17=0),"",ROUND(-LN(0.05)/Company_RI!$D$31,0))</f>
        <v/>
      </c>
      <c r="AE17" s="192"/>
      <c r="AF17" s="180" t="str">
        <f>IF('Top 10 Risks'!E20="","",'Top 10 Risks'!E20)</f>
        <v/>
      </c>
    </row>
    <row r="18" spans="1:32" ht="15" customHeight="1" x14ac:dyDescent="0.25">
      <c r="A18" s="179" t="str">
        <f>IF('Top 10 Risks'!D21="","",'Top 10 Risks'!C21)</f>
        <v/>
      </c>
      <c r="B18" s="180" t="str">
        <f>IF('Top 10 Risks'!D21="","",'Top 10 Risks'!D21)</f>
        <v/>
      </c>
      <c r="C18" s="179" t="str">
        <f>IF(RADAR!C18="","",RADAR!C18)</f>
        <v/>
      </c>
      <c r="D18" s="182" t="str">
        <f>IF(RADAR!D18="","",RADAR!D18)</f>
        <v/>
      </c>
      <c r="E18" s="183" t="str">
        <f>IF(RADAR!E18="","",RADAR!E18)</f>
        <v/>
      </c>
      <c r="F18" s="184" t="str">
        <f t="shared" si="0"/>
        <v/>
      </c>
      <c r="G18" s="185" t="str">
        <f t="shared" si="1"/>
        <v/>
      </c>
      <c r="H18" s="192"/>
      <c r="I18" s="56">
        <f>CORE!$D$36</f>
        <v>6.8849999999999998</v>
      </c>
      <c r="J18" s="56">
        <f>CORE!$D$44</f>
        <v>6.4749999999999996</v>
      </c>
      <c r="K18" s="199" t="str">
        <f>IF('Top 10 Risks'!D21="","",10*(IF(OR('Risk Control'!E20=FALSE(),'Risk Control'!E20=""),0,'Risk Control'!E20/4)*0.2+IF(OR('Risk Control'!L20=FALSE(),'Risk Control'!L20=""),0,'Risk Control'!L20/4)*0.15+IF(OR('Risk Control'!S20=FALSE(),'Risk Control'!S20=""),0,'Risk Control'!S20/5)*0.25+IF(OR('Risk Control'!AA20=FALSE(),'Risk Control'!AA20=""),0,'Risk Control'!AA20/5)*0.25+IF(OR('Risk Control'!AI20=FALSE(),'Risk Control'!AI20=""),0,'Risk Control'!AI20/5)*0.15))</f>
        <v/>
      </c>
      <c r="L18" s="200">
        <f t="shared" si="2"/>
        <v>0</v>
      </c>
      <c r="M18" s="56">
        <f>Company_RI!$F$22/10</f>
        <v>0.78</v>
      </c>
      <c r="N18" s="200">
        <f t="shared" si="3"/>
        <v>0</v>
      </c>
      <c r="O18" s="186" t="str">
        <f t="shared" si="4"/>
        <v/>
      </c>
      <c r="P18" s="185" t="str">
        <f t="shared" si="5"/>
        <v/>
      </c>
      <c r="Q18" s="184" t="str">
        <f t="shared" si="6"/>
        <v/>
      </c>
      <c r="R18" s="56" t="str">
        <f>IF(OR(O18="",O18=0),"",O18*Company_RI!$D$32)</f>
        <v/>
      </c>
      <c r="S18" s="187" t="str">
        <f t="shared" si="7"/>
        <v/>
      </c>
      <c r="T18" s="190" t="str">
        <f t="shared" si="8"/>
        <v/>
      </c>
      <c r="U18" s="186" t="str">
        <f t="shared" si="9"/>
        <v/>
      </c>
      <c r="V18" s="56">
        <f>Company_RI!$D$30</f>
        <v>0.19345000000000001</v>
      </c>
      <c r="W18" s="185" t="str">
        <f t="shared" si="10"/>
        <v/>
      </c>
      <c r="X18" s="185" t="str">
        <f t="shared" si="11"/>
        <v/>
      </c>
      <c r="Y18" s="185" t="str">
        <f t="shared" si="12"/>
        <v/>
      </c>
      <c r="Z18" s="201" t="str">
        <f t="shared" si="13"/>
        <v/>
      </c>
      <c r="AA18" s="202" t="str">
        <f>IF(OR(O18="",O18=0),"",ROUND(-LN(0.75)/Company_RI!$D$31,0))</f>
        <v/>
      </c>
      <c r="AB18" s="202" t="str">
        <f>IF(OR(O18="",O18=0),"",ROUND(-LN(0.5)/Company_RI!$D$31,0))</f>
        <v/>
      </c>
      <c r="AC18" s="202" t="str">
        <f>IF(OR(O18="",O18=0),"",ROUND(-LN(0.25)/Company_RI!$D$31,0))</f>
        <v/>
      </c>
      <c r="AD18" s="202" t="str">
        <f>IF(OR(O18="",O18=0),"",ROUND(-LN(0.05)/Company_RI!$D$31,0))</f>
        <v/>
      </c>
      <c r="AE18" s="192"/>
      <c r="AF18" s="180" t="str">
        <f>IF('Top 10 Risks'!E21="","",'Top 10 Risks'!E21)</f>
        <v/>
      </c>
    </row>
    <row r="19" spans="1:32" ht="15" customHeight="1" x14ac:dyDescent="0.25">
      <c r="A19" s="179" t="str">
        <f>IF('Top 10 Risks'!D22="","",'Top 10 Risks'!C22)</f>
        <v/>
      </c>
      <c r="B19" s="180" t="str">
        <f>IF('Top 10 Risks'!D22="","",'Top 10 Risks'!D22)</f>
        <v/>
      </c>
      <c r="C19" s="179" t="str">
        <f>IF(RADAR!C19="","",RADAR!C19)</f>
        <v/>
      </c>
      <c r="D19" s="182" t="str">
        <f>IF(RADAR!D19="","",RADAR!D19)</f>
        <v/>
      </c>
      <c r="E19" s="183" t="str">
        <f>IF(RADAR!E19="","",RADAR!E19)</f>
        <v/>
      </c>
      <c r="F19" s="184" t="str">
        <f t="shared" si="0"/>
        <v/>
      </c>
      <c r="G19" s="185" t="str">
        <f t="shared" si="1"/>
        <v/>
      </c>
      <c r="H19" s="192"/>
      <c r="I19" s="56">
        <f>CORE!$D$36</f>
        <v>6.8849999999999998</v>
      </c>
      <c r="J19" s="56">
        <f>CORE!$D$44</f>
        <v>6.4749999999999996</v>
      </c>
      <c r="K19" s="199" t="str">
        <f>IF('Top 10 Risks'!D22="","",10*(IF(OR('Risk Control'!E21=FALSE(),'Risk Control'!E21=""),0,'Risk Control'!E21/4)*0.2+IF(OR('Risk Control'!L21=FALSE(),'Risk Control'!L21=""),0,'Risk Control'!L21/4)*0.15+IF(OR('Risk Control'!S21=FALSE(),'Risk Control'!S21=""),0,'Risk Control'!S21/5)*0.25+IF(OR('Risk Control'!AA21=FALSE(),'Risk Control'!AA21=""),0,'Risk Control'!AA21/5)*0.25+IF(OR('Risk Control'!AI21=FALSE(),'Risk Control'!AI21=""),0,'Risk Control'!AI21/5)*0.15))</f>
        <v/>
      </c>
      <c r="L19" s="200">
        <f t="shared" si="2"/>
        <v>0</v>
      </c>
      <c r="M19" s="56">
        <f>Company_RI!$F$22/10</f>
        <v>0.78</v>
      </c>
      <c r="N19" s="200">
        <f t="shared" si="3"/>
        <v>0</v>
      </c>
      <c r="O19" s="186" t="str">
        <f t="shared" si="4"/>
        <v/>
      </c>
      <c r="P19" s="185" t="str">
        <f t="shared" si="5"/>
        <v/>
      </c>
      <c r="Q19" s="184" t="str">
        <f t="shared" si="6"/>
        <v/>
      </c>
      <c r="R19" s="56" t="str">
        <f>IF(OR(O19="",O19=0),"",O19*Company_RI!$D$32)</f>
        <v/>
      </c>
      <c r="S19" s="187" t="str">
        <f t="shared" si="7"/>
        <v/>
      </c>
      <c r="T19" s="190" t="str">
        <f t="shared" si="8"/>
        <v/>
      </c>
      <c r="U19" s="186" t="str">
        <f t="shared" si="9"/>
        <v/>
      </c>
      <c r="V19" s="56">
        <f>Company_RI!$D$30</f>
        <v>0.19345000000000001</v>
      </c>
      <c r="W19" s="185" t="str">
        <f t="shared" si="10"/>
        <v/>
      </c>
      <c r="X19" s="185" t="str">
        <f t="shared" si="11"/>
        <v/>
      </c>
      <c r="Y19" s="185" t="str">
        <f t="shared" si="12"/>
        <v/>
      </c>
      <c r="Z19" s="201" t="str">
        <f t="shared" si="13"/>
        <v/>
      </c>
      <c r="AA19" s="202" t="str">
        <f>IF(OR(O19="",O19=0),"",ROUND(-LN(0.75)/Company_RI!$D$31,0))</f>
        <v/>
      </c>
      <c r="AB19" s="202" t="str">
        <f>IF(OR(O19="",O19=0),"",ROUND(-LN(0.5)/Company_RI!$D$31,0))</f>
        <v/>
      </c>
      <c r="AC19" s="202" t="str">
        <f>IF(OR(O19="",O19=0),"",ROUND(-LN(0.25)/Company_RI!$D$31,0))</f>
        <v/>
      </c>
      <c r="AD19" s="202" t="str">
        <f>IF(OR(O19="",O19=0),"",ROUND(-LN(0.05)/Company_RI!$D$31,0))</f>
        <v/>
      </c>
      <c r="AE19" s="192"/>
      <c r="AF19" s="180" t="str">
        <f>IF('Top 10 Risks'!E22="","",'Top 10 Risks'!E22)</f>
        <v/>
      </c>
    </row>
    <row r="20" spans="1:32" ht="15" customHeight="1" x14ac:dyDescent="0.25">
      <c r="A20" s="179" t="str">
        <f>IF('Top 10 Risks'!D23="","",'Top 10 Risks'!C23)</f>
        <v/>
      </c>
      <c r="B20" s="180" t="str">
        <f>IF('Top 10 Risks'!D23="","",'Top 10 Risks'!D23)</f>
        <v/>
      </c>
      <c r="C20" s="179" t="str">
        <f>IF(RADAR!C20="","",RADAR!C20)</f>
        <v/>
      </c>
      <c r="D20" s="182" t="str">
        <f>IF(RADAR!D20="","",RADAR!D20)</f>
        <v/>
      </c>
      <c r="E20" s="183" t="str">
        <f>IF(RADAR!E20="","",RADAR!E20)</f>
        <v/>
      </c>
      <c r="F20" s="184" t="str">
        <f t="shared" si="0"/>
        <v/>
      </c>
      <c r="G20" s="185" t="str">
        <f t="shared" si="1"/>
        <v/>
      </c>
      <c r="H20" s="192"/>
      <c r="I20" s="56">
        <f>CORE!$D$36</f>
        <v>6.8849999999999998</v>
      </c>
      <c r="J20" s="56">
        <f>CORE!$D$44</f>
        <v>6.4749999999999996</v>
      </c>
      <c r="K20" s="199" t="str">
        <f>IF('Top 10 Risks'!D23="","",10*(IF(OR('Risk Control'!E22=FALSE(),'Risk Control'!E22=""),0,'Risk Control'!E22/4)*0.2+IF(OR('Risk Control'!L22=FALSE(),'Risk Control'!L22=""),0,'Risk Control'!L22/4)*0.15+IF(OR('Risk Control'!S22=FALSE(),'Risk Control'!S22=""),0,'Risk Control'!S22/5)*0.25+IF(OR('Risk Control'!AA22=FALSE(),'Risk Control'!AA22=""),0,'Risk Control'!AA22/5)*0.25+IF(OR('Risk Control'!AI22=FALSE(),'Risk Control'!AI22=""),0,'Risk Control'!AI22/5)*0.15))</f>
        <v/>
      </c>
      <c r="L20" s="200">
        <f t="shared" si="2"/>
        <v>0</v>
      </c>
      <c r="M20" s="56">
        <f>Company_RI!$F$22/10</f>
        <v>0.78</v>
      </c>
      <c r="N20" s="200">
        <f t="shared" si="3"/>
        <v>0</v>
      </c>
      <c r="O20" s="186" t="str">
        <f t="shared" si="4"/>
        <v/>
      </c>
      <c r="P20" s="185" t="str">
        <f t="shared" si="5"/>
        <v/>
      </c>
      <c r="Q20" s="184" t="str">
        <f t="shared" si="6"/>
        <v/>
      </c>
      <c r="R20" s="56" t="str">
        <f>IF(OR(O20="",O20=0),"",O20*Company_RI!$D$32)</f>
        <v/>
      </c>
      <c r="S20" s="187" t="str">
        <f t="shared" si="7"/>
        <v/>
      </c>
      <c r="T20" s="190" t="str">
        <f t="shared" si="8"/>
        <v/>
      </c>
      <c r="U20" s="186" t="str">
        <f t="shared" si="9"/>
        <v/>
      </c>
      <c r="V20" s="56">
        <f>Company_RI!$D$30</f>
        <v>0.19345000000000001</v>
      </c>
      <c r="W20" s="185" t="str">
        <f t="shared" si="10"/>
        <v/>
      </c>
      <c r="X20" s="185" t="str">
        <f t="shared" si="11"/>
        <v/>
      </c>
      <c r="Y20" s="185" t="str">
        <f t="shared" si="12"/>
        <v/>
      </c>
      <c r="Z20" s="201" t="str">
        <f t="shared" si="13"/>
        <v/>
      </c>
      <c r="AA20" s="202" t="str">
        <f>IF(OR(O20="",O20=0),"",ROUND(-LN(0.75)/Company_RI!$D$31,0))</f>
        <v/>
      </c>
      <c r="AB20" s="202" t="str">
        <f>IF(OR(O20="",O20=0),"",ROUND(-LN(0.5)/Company_RI!$D$31,0))</f>
        <v/>
      </c>
      <c r="AC20" s="202" t="str">
        <f>IF(OR(O20="",O20=0),"",ROUND(-LN(0.25)/Company_RI!$D$31,0))</f>
        <v/>
      </c>
      <c r="AD20" s="202" t="str">
        <f>IF(OR(O20="",O20=0),"",ROUND(-LN(0.05)/Company_RI!$D$31,0))</f>
        <v/>
      </c>
      <c r="AE20" s="192"/>
      <c r="AF20" s="180" t="str">
        <f>IF('Top 10 Risks'!E23="","",'Top 10 Risks'!E23)</f>
        <v/>
      </c>
    </row>
    <row r="21" spans="1:32" ht="15" customHeight="1" x14ac:dyDescent="0.25">
      <c r="A21" s="179" t="str">
        <f>IF('Top 10 Risks'!D24="","",'Top 10 Risks'!C24)</f>
        <v/>
      </c>
      <c r="B21" s="180" t="str">
        <f>IF('Top 10 Risks'!D24="","",'Top 10 Risks'!D24)</f>
        <v/>
      </c>
      <c r="C21" s="179" t="str">
        <f>IF(RADAR!C21="","",RADAR!C21)</f>
        <v/>
      </c>
      <c r="D21" s="182" t="str">
        <f>IF(RADAR!D21="","",RADAR!D21)</f>
        <v/>
      </c>
      <c r="E21" s="183" t="str">
        <f>IF(RADAR!E21="","",RADAR!E21)</f>
        <v/>
      </c>
      <c r="F21" s="184" t="str">
        <f t="shared" si="0"/>
        <v/>
      </c>
      <c r="G21" s="185" t="str">
        <f t="shared" si="1"/>
        <v/>
      </c>
      <c r="H21" s="192"/>
      <c r="I21" s="56">
        <f>CORE!$D$36</f>
        <v>6.8849999999999998</v>
      </c>
      <c r="J21" s="56">
        <f>CORE!$D$44</f>
        <v>6.4749999999999996</v>
      </c>
      <c r="K21" s="199" t="str">
        <f>IF('Top 10 Risks'!D24="","",10*(IF(OR('Risk Control'!E23=FALSE(),'Risk Control'!E23=""),0,'Risk Control'!E23/4)*0.2+IF(OR('Risk Control'!L23=FALSE(),'Risk Control'!L23=""),0,'Risk Control'!L23/4)*0.15+IF(OR('Risk Control'!S23=FALSE(),'Risk Control'!S23=""),0,'Risk Control'!S23/5)*0.25+IF(OR('Risk Control'!AA23=FALSE(),'Risk Control'!AA23=""),0,'Risk Control'!AA23/5)*0.25+IF(OR('Risk Control'!AI23=FALSE(),'Risk Control'!AI23=""),0,'Risk Control'!AI23/5)*0.15))</f>
        <v/>
      </c>
      <c r="L21" s="200">
        <f t="shared" si="2"/>
        <v>0</v>
      </c>
      <c r="M21" s="56">
        <f>Company_RI!$F$22/10</f>
        <v>0.78</v>
      </c>
      <c r="N21" s="200">
        <f t="shared" si="3"/>
        <v>0</v>
      </c>
      <c r="O21" s="186" t="str">
        <f t="shared" si="4"/>
        <v/>
      </c>
      <c r="P21" s="185" t="str">
        <f t="shared" si="5"/>
        <v/>
      </c>
      <c r="Q21" s="184" t="str">
        <f t="shared" si="6"/>
        <v/>
      </c>
      <c r="R21" s="56" t="str">
        <f>IF(OR(O21="",O21=0),"",O21*Company_RI!$D$32)</f>
        <v/>
      </c>
      <c r="S21" s="187" t="str">
        <f t="shared" si="7"/>
        <v/>
      </c>
      <c r="T21" s="190" t="str">
        <f t="shared" si="8"/>
        <v/>
      </c>
      <c r="U21" s="193" t="str">
        <f t="shared" si="9"/>
        <v/>
      </c>
      <c r="V21" s="56">
        <f>Company_RI!$D$30</f>
        <v>0.19345000000000001</v>
      </c>
      <c r="W21" s="185" t="str">
        <f t="shared" si="10"/>
        <v/>
      </c>
      <c r="X21" s="185" t="str">
        <f t="shared" si="11"/>
        <v/>
      </c>
      <c r="Y21" s="185" t="str">
        <f t="shared" si="12"/>
        <v/>
      </c>
      <c r="Z21" s="201" t="str">
        <f t="shared" si="13"/>
        <v/>
      </c>
      <c r="AA21" s="202" t="str">
        <f>IF(OR(O21="",O21=0),"",ROUND(-LN(0.75)/Company_RI!$D$31,0))</f>
        <v/>
      </c>
      <c r="AB21" s="202" t="str">
        <f>IF(OR(O21="",O21=0),"",ROUND(-LN(0.5)/Company_RI!$D$31,0))</f>
        <v/>
      </c>
      <c r="AC21" s="202" t="str">
        <f>IF(OR(O21="",O21=0),"",ROUND(-LN(0.25)/Company_RI!$D$31,0))</f>
        <v/>
      </c>
      <c r="AD21" s="202" t="str">
        <f>IF(OR(O21="",O21=0),"",ROUND(-LN(0.05)/Company_RI!$D$31,0))</f>
        <v/>
      </c>
      <c r="AE21" s="192"/>
      <c r="AF21" s="180" t="str">
        <f>IF('Top 10 Risks'!E24="","",'Top 10 Risks'!E24)</f>
        <v/>
      </c>
    </row>
    <row r="22" spans="1:32" ht="15" customHeight="1" x14ac:dyDescent="0.25">
      <c r="A22" s="179" t="str">
        <f>IF('Top 10 Risks'!D25="","",'Top 10 Risks'!C25)</f>
        <v/>
      </c>
      <c r="B22" s="180" t="str">
        <f>IF('Top 10 Risks'!D25="","",'Top 10 Risks'!D25)</f>
        <v/>
      </c>
      <c r="C22" s="179" t="str">
        <f>IF(RADAR!C22="","",RADAR!C22)</f>
        <v/>
      </c>
      <c r="D22" s="182" t="str">
        <f>IF(RADAR!D22="","",RADAR!D22)</f>
        <v/>
      </c>
      <c r="E22" s="183" t="str">
        <f>IF(RADAR!E22="","",RADAR!E22)</f>
        <v/>
      </c>
      <c r="F22" s="184" t="str">
        <f t="shared" si="0"/>
        <v/>
      </c>
      <c r="G22" s="185" t="str">
        <f t="shared" si="1"/>
        <v/>
      </c>
      <c r="H22" s="192"/>
      <c r="I22" s="56">
        <f>CORE!$D$36</f>
        <v>6.8849999999999998</v>
      </c>
      <c r="J22" s="56">
        <f>CORE!$D$44</f>
        <v>6.4749999999999996</v>
      </c>
      <c r="K22" s="199" t="str">
        <f>IF('Top 10 Risks'!D25="","",10*(IF(OR('Risk Control'!E24=FALSE(),'Risk Control'!E24=""),0,'Risk Control'!E24/4)*0.2+IF(OR('Risk Control'!L24=FALSE(),'Risk Control'!L24=""),0,'Risk Control'!L24/4)*0.15+IF(OR('Risk Control'!S24=FALSE(),'Risk Control'!S24=""),0,'Risk Control'!S24/5)*0.25+IF(OR('Risk Control'!AA24=FALSE(),'Risk Control'!AA24=""),0,'Risk Control'!AA24/5)*0.25+IF(OR('Risk Control'!AI24=FALSE(),'Risk Control'!AI24=""),0,'Risk Control'!AI24/5)*0.15))</f>
        <v/>
      </c>
      <c r="L22" s="200">
        <f t="shared" si="2"/>
        <v>0</v>
      </c>
      <c r="M22" s="56">
        <f>Company_RI!$F$22/10</f>
        <v>0.78</v>
      </c>
      <c r="N22" s="200">
        <f t="shared" si="3"/>
        <v>0</v>
      </c>
      <c r="O22" s="186" t="str">
        <f t="shared" si="4"/>
        <v/>
      </c>
      <c r="P22" s="185" t="str">
        <f t="shared" si="5"/>
        <v/>
      </c>
      <c r="Q22" s="184" t="str">
        <f t="shared" si="6"/>
        <v/>
      </c>
      <c r="R22" s="56" t="str">
        <f>IF(OR(O22="",O22=0),"",O22*Company_RI!$D$32)</f>
        <v/>
      </c>
      <c r="S22" s="187" t="str">
        <f t="shared" si="7"/>
        <v/>
      </c>
      <c r="T22" s="190" t="str">
        <f t="shared" si="8"/>
        <v/>
      </c>
      <c r="U22" s="193" t="str">
        <f t="shared" si="9"/>
        <v/>
      </c>
      <c r="V22" s="56">
        <f>Company_RI!$D$30</f>
        <v>0.19345000000000001</v>
      </c>
      <c r="W22" s="185" t="str">
        <f t="shared" si="10"/>
        <v/>
      </c>
      <c r="X22" s="185" t="str">
        <f t="shared" si="11"/>
        <v/>
      </c>
      <c r="Y22" s="185" t="str">
        <f t="shared" si="12"/>
        <v/>
      </c>
      <c r="Z22" s="201" t="str">
        <f t="shared" si="13"/>
        <v/>
      </c>
      <c r="AA22" s="202" t="str">
        <f>IF(OR(O22="",O22=0),"",ROUND(-LN(0.75)/Company_RI!$D$31,0))</f>
        <v/>
      </c>
      <c r="AB22" s="202" t="str">
        <f>IF(OR(O22="",O22=0),"",ROUND(-LN(0.5)/Company_RI!$D$31,0))</f>
        <v/>
      </c>
      <c r="AC22" s="202" t="str">
        <f>IF(OR(O22="",O22=0),"",ROUND(-LN(0.25)/Company_RI!$D$31,0))</f>
        <v/>
      </c>
      <c r="AD22" s="202" t="str">
        <f>IF(OR(O22="",O22=0),"",ROUND(-LN(0.05)/Company_RI!$D$31,0))</f>
        <v/>
      </c>
      <c r="AE22" s="192"/>
      <c r="AF22" s="180" t="str">
        <f>IF('Top 10 Risks'!E25="","",'Top 10 Risks'!E25)</f>
        <v/>
      </c>
    </row>
    <row r="23" spans="1:32" ht="21.75" customHeight="1" x14ac:dyDescent="0.25">
      <c r="A23" s="179" t="str">
        <f>IF('Top 10 Risks'!D26="","",'Top 10 Risks'!C26)</f>
        <v/>
      </c>
      <c r="B23" s="180" t="str">
        <f>IF('Top 10 Risks'!D26="","",'Top 10 Risks'!D26)</f>
        <v/>
      </c>
      <c r="C23" s="179" t="str">
        <f>IF(RADAR!C23="","",RADAR!C23)</f>
        <v/>
      </c>
      <c r="D23" s="182" t="str">
        <f>IF(RADAR!D23="","",RADAR!D23)</f>
        <v/>
      </c>
      <c r="E23" s="183" t="str">
        <f>IF(RADAR!E23="","",RADAR!E23)</f>
        <v/>
      </c>
      <c r="F23" s="184" t="str">
        <f t="shared" si="0"/>
        <v/>
      </c>
      <c r="G23" s="185" t="str">
        <f t="shared" si="1"/>
        <v/>
      </c>
      <c r="H23" s="192"/>
      <c r="I23" s="56">
        <f>CORE!$D$36</f>
        <v>6.8849999999999998</v>
      </c>
      <c r="J23" s="56">
        <f>CORE!$D$44</f>
        <v>6.4749999999999996</v>
      </c>
      <c r="K23" s="199" t="str">
        <f>IF('Top 10 Risks'!D26="","",10*(IF(OR('Risk Control'!E25=FALSE(),'Risk Control'!E25=""),0,'Risk Control'!E25/4)*0.2+IF(OR('Risk Control'!L25=FALSE(),'Risk Control'!L25=""),0,'Risk Control'!L25/4)*0.15+IF(OR('Risk Control'!S25=FALSE(),'Risk Control'!S25=""),0,'Risk Control'!S25/5)*0.25+IF(OR('Risk Control'!AA25=FALSE(),'Risk Control'!AA25=""),0,'Risk Control'!AA25/5)*0.25+IF(OR('Risk Control'!AI25=FALSE(),'Risk Control'!AI25=""),0,'Risk Control'!AI25/5)*0.15))</f>
        <v/>
      </c>
      <c r="L23" s="200">
        <f t="shared" si="2"/>
        <v>0</v>
      </c>
      <c r="M23" s="56">
        <f>Company_RI!$F$22/10</f>
        <v>0.78</v>
      </c>
      <c r="N23" s="200">
        <f t="shared" si="3"/>
        <v>0</v>
      </c>
      <c r="O23" s="186" t="str">
        <f t="shared" si="4"/>
        <v/>
      </c>
      <c r="P23" s="185" t="str">
        <f t="shared" si="5"/>
        <v/>
      </c>
      <c r="Q23" s="184" t="str">
        <f t="shared" si="6"/>
        <v/>
      </c>
      <c r="R23" s="56" t="str">
        <f>IF(OR(O23="",O23=0),"",O23*Company_RI!$D$32)</f>
        <v/>
      </c>
      <c r="S23" s="187" t="str">
        <f t="shared" si="7"/>
        <v/>
      </c>
      <c r="T23" s="190" t="str">
        <f t="shared" si="8"/>
        <v/>
      </c>
      <c r="U23" s="193" t="str">
        <f t="shared" si="9"/>
        <v/>
      </c>
      <c r="V23" s="56">
        <f>Company_RI!$D$30</f>
        <v>0.19345000000000001</v>
      </c>
      <c r="W23" s="185" t="str">
        <f t="shared" si="10"/>
        <v/>
      </c>
      <c r="X23" s="185" t="str">
        <f t="shared" si="11"/>
        <v/>
      </c>
      <c r="Y23" s="185" t="str">
        <f t="shared" si="12"/>
        <v/>
      </c>
      <c r="Z23" s="201" t="str">
        <f t="shared" si="13"/>
        <v/>
      </c>
      <c r="AA23" s="202" t="str">
        <f>IF(OR(O23="",O23=0),"",ROUND(-LN(0.75)/Company_RI!$D$31,0))</f>
        <v/>
      </c>
      <c r="AB23" s="202" t="str">
        <f>IF(OR(O23="",O23=0),"",ROUND(-LN(0.5)/Company_RI!$D$31,0))</f>
        <v/>
      </c>
      <c r="AC23" s="202" t="str">
        <f>IF(OR(O23="",O23=0),"",ROUND(-LN(0.25)/Company_RI!$D$31,0))</f>
        <v/>
      </c>
      <c r="AD23" s="202" t="str">
        <f>IF(OR(O23="",O23=0),"",ROUND(-LN(0.05)/Company_RI!$D$31,0))</f>
        <v/>
      </c>
      <c r="AE23" s="192"/>
      <c r="AF23" s="180" t="str">
        <f>IF('Top 10 Risks'!E26="","",'Top 10 Risks'!E26)</f>
        <v/>
      </c>
    </row>
    <row r="24" spans="1:32" ht="18" customHeight="1" x14ac:dyDescent="0.25">
      <c r="A24" s="179" t="str">
        <f>IF('Top 10 Risks'!D27="","",'Top 10 Risks'!C27)</f>
        <v/>
      </c>
      <c r="B24" s="180" t="str">
        <f>IF('Top 10 Risks'!D27="","",'Top 10 Risks'!D27)</f>
        <v/>
      </c>
      <c r="C24" s="179" t="str">
        <f>IF(RADAR!C24="","",RADAR!C24)</f>
        <v/>
      </c>
      <c r="D24" s="182" t="str">
        <f>IF(RADAR!D24="","",RADAR!D24)</f>
        <v/>
      </c>
      <c r="E24" s="183" t="str">
        <f>IF(RADAR!E24="","",RADAR!E24)</f>
        <v/>
      </c>
      <c r="F24" s="184" t="str">
        <f t="shared" si="0"/>
        <v/>
      </c>
      <c r="G24" s="185" t="str">
        <f t="shared" si="1"/>
        <v/>
      </c>
      <c r="H24" s="192"/>
      <c r="I24" s="56">
        <f>CORE!$D$36</f>
        <v>6.8849999999999998</v>
      </c>
      <c r="J24" s="56">
        <f>CORE!$D$44</f>
        <v>6.4749999999999996</v>
      </c>
      <c r="K24" s="199" t="str">
        <f>IF('Top 10 Risks'!D27="","",10*(IF(OR('Risk Control'!E26=FALSE(),'Risk Control'!E26=""),0,'Risk Control'!E26/4)*0.2+IF(OR('Risk Control'!L26=FALSE(),'Risk Control'!L26=""),0,'Risk Control'!L26/4)*0.15+IF(OR('Risk Control'!S26=FALSE(),'Risk Control'!S26=""),0,'Risk Control'!S26/5)*0.25+IF(OR('Risk Control'!AA26=FALSE(),'Risk Control'!AA26=""),0,'Risk Control'!AA26/5)*0.25+IF(OR('Risk Control'!AI26=FALSE(),'Risk Control'!AI26=""),0,'Risk Control'!AI26/5)*0.15))</f>
        <v/>
      </c>
      <c r="L24" s="200">
        <f t="shared" si="2"/>
        <v>0</v>
      </c>
      <c r="M24" s="56">
        <f>Company_RI!$F$22/10</f>
        <v>0.78</v>
      </c>
      <c r="N24" s="200">
        <f t="shared" si="3"/>
        <v>0</v>
      </c>
      <c r="O24" s="186" t="str">
        <f t="shared" si="4"/>
        <v/>
      </c>
      <c r="P24" s="185" t="str">
        <f t="shared" si="5"/>
        <v/>
      </c>
      <c r="Q24" s="184" t="str">
        <f t="shared" si="6"/>
        <v/>
      </c>
      <c r="R24" s="56" t="str">
        <f>IF(OR(O24="",O24=0),"",O24*Company_RI!$D$32)</f>
        <v/>
      </c>
      <c r="S24" s="187" t="str">
        <f t="shared" si="7"/>
        <v/>
      </c>
      <c r="T24" s="190" t="str">
        <f t="shared" si="8"/>
        <v/>
      </c>
      <c r="U24" s="193" t="str">
        <f t="shared" si="9"/>
        <v/>
      </c>
      <c r="V24" s="56">
        <f>Company_RI!$D$30</f>
        <v>0.19345000000000001</v>
      </c>
      <c r="W24" s="185" t="str">
        <f t="shared" si="10"/>
        <v/>
      </c>
      <c r="X24" s="185" t="str">
        <f t="shared" si="11"/>
        <v/>
      </c>
      <c r="Y24" s="185" t="str">
        <f t="shared" si="12"/>
        <v/>
      </c>
      <c r="Z24" s="201" t="str">
        <f t="shared" si="13"/>
        <v/>
      </c>
      <c r="AA24" s="202" t="str">
        <f>IF(OR(O24="",O24=0),"",ROUND(-LN(0.75)/Company_RI!$D$31,0))</f>
        <v/>
      </c>
      <c r="AB24" s="202" t="str">
        <f>IF(OR(O24="",O24=0),"",ROUND(-LN(0.5)/Company_RI!$D$31,0))</f>
        <v/>
      </c>
      <c r="AC24" s="202" t="str">
        <f>IF(OR(O24="",O24=0),"",ROUND(-LN(0.25)/Company_RI!$D$31,0))</f>
        <v/>
      </c>
      <c r="AD24" s="202" t="str">
        <f>IF(OR(O24="",O24=0),"",ROUND(-LN(0.05)/Company_RI!$D$31,0))</f>
        <v/>
      </c>
      <c r="AE24" s="192"/>
      <c r="AF24" s="180" t="str">
        <f>IF('Top 10 Risks'!E27="","",'Top 10 Risks'!E27)</f>
        <v/>
      </c>
    </row>
    <row r="25" spans="1:32" ht="18" customHeight="1" x14ac:dyDescent="0.25">
      <c r="A25" s="179" t="str">
        <f>IF('Top 10 Risks'!D28="","",'Top 10 Risks'!C28)</f>
        <v/>
      </c>
      <c r="B25" s="180" t="str">
        <f>IF('Top 10 Risks'!D28="","",'Top 10 Risks'!D28)</f>
        <v/>
      </c>
      <c r="C25" s="179" t="str">
        <f>IF(RADAR!C25="","",RADAR!C25)</f>
        <v/>
      </c>
      <c r="D25" s="182" t="str">
        <f>IF(RADAR!D25="","",RADAR!D25)</f>
        <v/>
      </c>
      <c r="E25" s="183" t="str">
        <f>IF(RADAR!E25="","",RADAR!E25)</f>
        <v/>
      </c>
      <c r="F25" s="184" t="str">
        <f t="shared" si="0"/>
        <v/>
      </c>
      <c r="G25" s="185" t="str">
        <f t="shared" si="1"/>
        <v/>
      </c>
      <c r="H25" s="192"/>
      <c r="I25" s="56">
        <f>CORE!$D$36</f>
        <v>6.8849999999999998</v>
      </c>
      <c r="J25" s="56">
        <f>CORE!$D$44</f>
        <v>6.4749999999999996</v>
      </c>
      <c r="K25" s="199" t="str">
        <f>IF('Top 10 Risks'!D28="","",10*(IF(OR('Risk Control'!E27=FALSE(),'Risk Control'!E27=""),0,'Risk Control'!E27/4)*0.2+IF(OR('Risk Control'!L27=FALSE(),'Risk Control'!L27=""),0,'Risk Control'!L27/4)*0.15+IF(OR('Risk Control'!S27=FALSE(),'Risk Control'!S27=""),0,'Risk Control'!S27/5)*0.25+IF(OR('Risk Control'!AA27=FALSE(),'Risk Control'!AA27=""),0,'Risk Control'!AA27/5)*0.25+IF(OR('Risk Control'!AI27=FALSE(),'Risk Control'!AI27=""),0,'Risk Control'!AI27/5)*0.15))</f>
        <v/>
      </c>
      <c r="L25" s="200">
        <f t="shared" si="2"/>
        <v>0</v>
      </c>
      <c r="M25" s="56">
        <f>Company_RI!$F$22/10</f>
        <v>0.78</v>
      </c>
      <c r="N25" s="200">
        <f t="shared" si="3"/>
        <v>0</v>
      </c>
      <c r="O25" s="186" t="str">
        <f t="shared" si="4"/>
        <v/>
      </c>
      <c r="P25" s="185" t="str">
        <f t="shared" si="5"/>
        <v/>
      </c>
      <c r="Q25" s="184" t="str">
        <f t="shared" si="6"/>
        <v/>
      </c>
      <c r="R25" s="56" t="str">
        <f>IF(OR(O25="",O25=0),"",O25*Company_RI!$D$32)</f>
        <v/>
      </c>
      <c r="S25" s="187" t="str">
        <f t="shared" si="7"/>
        <v/>
      </c>
      <c r="T25" s="190" t="str">
        <f t="shared" si="8"/>
        <v/>
      </c>
      <c r="U25" s="193" t="str">
        <f t="shared" si="9"/>
        <v/>
      </c>
      <c r="V25" s="56">
        <f>Company_RI!$D$30</f>
        <v>0.19345000000000001</v>
      </c>
      <c r="W25" s="185" t="str">
        <f t="shared" si="10"/>
        <v/>
      </c>
      <c r="X25" s="185" t="str">
        <f t="shared" si="11"/>
        <v/>
      </c>
      <c r="Y25" s="185" t="str">
        <f t="shared" si="12"/>
        <v/>
      </c>
      <c r="Z25" s="201" t="str">
        <f t="shared" si="13"/>
        <v/>
      </c>
      <c r="AA25" s="202" t="str">
        <f>IF(OR(O25="",O25=0),"",ROUND(-LN(0.75)/Company_RI!$D$31,0))</f>
        <v/>
      </c>
      <c r="AB25" s="202" t="str">
        <f>IF(OR(O25="",O25=0),"",ROUND(-LN(0.5)/Company_RI!$D$31,0))</f>
        <v/>
      </c>
      <c r="AC25" s="202" t="str">
        <f>IF(OR(O25="",O25=0),"",ROUND(-LN(0.25)/Company_RI!$D$31,0))</f>
        <v/>
      </c>
      <c r="AD25" s="202" t="str">
        <f>IF(OR(O25="",O25=0),"",ROUND(-LN(0.05)/Company_RI!$D$31,0))</f>
        <v/>
      </c>
      <c r="AE25" s="192"/>
      <c r="AF25" s="180" t="str">
        <f>IF('Top 10 Risks'!E28="","",'Top 10 Risks'!E28)</f>
        <v/>
      </c>
    </row>
    <row r="26" spans="1:32" ht="18" customHeight="1" x14ac:dyDescent="0.25">
      <c r="A26" s="179" t="str">
        <f>IF('Top 10 Risks'!D29="","",'Top 10 Risks'!C29)</f>
        <v/>
      </c>
      <c r="B26" s="180" t="str">
        <f>IF('Top 10 Risks'!D29="","",'Top 10 Risks'!D29)</f>
        <v/>
      </c>
      <c r="C26" s="179" t="str">
        <f>IF(RADAR!C26="","",RADAR!C26)</f>
        <v/>
      </c>
      <c r="D26" s="182" t="str">
        <f>IF(RADAR!D26="","",RADAR!D26)</f>
        <v/>
      </c>
      <c r="E26" s="183" t="str">
        <f>IF(RADAR!E26="","",RADAR!E26)</f>
        <v/>
      </c>
      <c r="F26" s="184" t="str">
        <f t="shared" si="0"/>
        <v/>
      </c>
      <c r="G26" s="185" t="str">
        <f t="shared" si="1"/>
        <v/>
      </c>
      <c r="H26" s="192"/>
      <c r="I26" s="56">
        <f>CORE!$D$36</f>
        <v>6.8849999999999998</v>
      </c>
      <c r="J26" s="56">
        <f>CORE!$D$44</f>
        <v>6.4749999999999996</v>
      </c>
      <c r="K26" s="199" t="str">
        <f>IF('Top 10 Risks'!D29="","",10*(IF(OR('Risk Control'!E28=FALSE(),'Risk Control'!E28=""),0,'Risk Control'!E28/4)*0.2+IF(OR('Risk Control'!L28=FALSE(),'Risk Control'!L28=""),0,'Risk Control'!L28/4)*0.15+IF(OR('Risk Control'!S28=FALSE(),'Risk Control'!S28=""),0,'Risk Control'!S28/5)*0.25+IF(OR('Risk Control'!AA28=FALSE(),'Risk Control'!AA28=""),0,'Risk Control'!AA28/5)*0.25+IF(OR('Risk Control'!AI28=FALSE(),'Risk Control'!AI28=""),0,'Risk Control'!AI28/5)*0.15))</f>
        <v/>
      </c>
      <c r="L26" s="200">
        <f t="shared" si="2"/>
        <v>0</v>
      </c>
      <c r="M26" s="56">
        <f>Company_RI!$F$22/10</f>
        <v>0.78</v>
      </c>
      <c r="N26" s="200">
        <f t="shared" si="3"/>
        <v>0</v>
      </c>
      <c r="O26" s="186" t="str">
        <f t="shared" si="4"/>
        <v/>
      </c>
      <c r="P26" s="185" t="str">
        <f t="shared" si="5"/>
        <v/>
      </c>
      <c r="Q26" s="184" t="str">
        <f t="shared" si="6"/>
        <v/>
      </c>
      <c r="R26" s="56" t="str">
        <f>IF(OR(O26="",O26=0),"",O26*Company_RI!$D$32)</f>
        <v/>
      </c>
      <c r="S26" s="187" t="str">
        <f t="shared" si="7"/>
        <v/>
      </c>
      <c r="T26" s="190" t="str">
        <f t="shared" si="8"/>
        <v/>
      </c>
      <c r="U26" s="193" t="str">
        <f t="shared" si="9"/>
        <v/>
      </c>
      <c r="V26" s="56">
        <f>Company_RI!$D$30</f>
        <v>0.19345000000000001</v>
      </c>
      <c r="W26" s="185" t="str">
        <f t="shared" si="10"/>
        <v/>
      </c>
      <c r="X26" s="185" t="str">
        <f t="shared" si="11"/>
        <v/>
      </c>
      <c r="Y26" s="185" t="str">
        <f t="shared" si="12"/>
        <v/>
      </c>
      <c r="Z26" s="201" t="str">
        <f t="shared" si="13"/>
        <v/>
      </c>
      <c r="AA26" s="202" t="str">
        <f>IF(OR(O26="",O26=0),"",ROUND(-LN(0.75)/Company_RI!$D$31,0))</f>
        <v/>
      </c>
      <c r="AB26" s="202" t="str">
        <f>IF(OR(O26="",O26=0),"",ROUND(-LN(0.5)/Company_RI!$D$31,0))</f>
        <v/>
      </c>
      <c r="AC26" s="202" t="str">
        <f>IF(OR(O26="",O26=0),"",ROUND(-LN(0.25)/Company_RI!$D$31,0))</f>
        <v/>
      </c>
      <c r="AD26" s="202" t="str">
        <f>IF(OR(O26="",O26=0),"",ROUND(-LN(0.05)/Company_RI!$D$31,0))</f>
        <v/>
      </c>
      <c r="AE26" s="192"/>
      <c r="AF26" s="180" t="str">
        <f>IF('Top 10 Risks'!E29="","",'Top 10 Risks'!E29)</f>
        <v/>
      </c>
    </row>
    <row r="27" spans="1:32" ht="18" customHeight="1" x14ac:dyDescent="0.25">
      <c r="A27" s="179" t="str">
        <f>IF('Top 10 Risks'!D30="","",'Top 10 Risks'!C30)</f>
        <v/>
      </c>
      <c r="B27" s="180" t="str">
        <f>IF('Top 10 Risks'!D30="","",'Top 10 Risks'!D30)</f>
        <v/>
      </c>
      <c r="C27" s="179" t="str">
        <f>IF(RADAR!C27="","",RADAR!C27)</f>
        <v/>
      </c>
      <c r="D27" s="182" t="str">
        <f>IF(RADAR!D27="","",RADAR!D27)</f>
        <v/>
      </c>
      <c r="E27" s="183" t="str">
        <f>IF(RADAR!E27="","",RADAR!E27)</f>
        <v/>
      </c>
      <c r="F27" s="184" t="str">
        <f t="shared" si="0"/>
        <v/>
      </c>
      <c r="G27" s="185" t="str">
        <f t="shared" si="1"/>
        <v/>
      </c>
      <c r="H27" s="192"/>
      <c r="I27" s="56">
        <f>CORE!$D$36</f>
        <v>6.8849999999999998</v>
      </c>
      <c r="J27" s="56">
        <f>CORE!$D$44</f>
        <v>6.4749999999999996</v>
      </c>
      <c r="K27" s="199" t="str">
        <f>IF('Top 10 Risks'!D30="","",10*(IF(OR('Risk Control'!E29=FALSE(),'Risk Control'!E29=""),0,'Risk Control'!E29/4)*0.2+IF(OR('Risk Control'!L29=FALSE(),'Risk Control'!L29=""),0,'Risk Control'!L29/4)*0.15+IF(OR('Risk Control'!S29=FALSE(),'Risk Control'!S29=""),0,'Risk Control'!S29/5)*0.25+IF(OR('Risk Control'!AA29=FALSE(),'Risk Control'!AA29=""),0,'Risk Control'!AA29/5)*0.25+IF(OR('Risk Control'!AI29=FALSE(),'Risk Control'!AI29=""),0,'Risk Control'!AI29/5)*0.15))</f>
        <v/>
      </c>
      <c r="L27" s="200">
        <f t="shared" si="2"/>
        <v>0</v>
      </c>
      <c r="M27" s="56">
        <f>Company_RI!$F$22/10</f>
        <v>0.78</v>
      </c>
      <c r="N27" s="200">
        <f t="shared" si="3"/>
        <v>0</v>
      </c>
      <c r="O27" s="186" t="str">
        <f t="shared" si="4"/>
        <v/>
      </c>
      <c r="P27" s="185" t="str">
        <f t="shared" si="5"/>
        <v/>
      </c>
      <c r="Q27" s="184" t="str">
        <f t="shared" si="6"/>
        <v/>
      </c>
      <c r="R27" s="56" t="str">
        <f>IF(OR(O27="",O27=0),"",O27*Company_RI!$D$32)</f>
        <v/>
      </c>
      <c r="S27" s="187" t="str">
        <f t="shared" si="7"/>
        <v/>
      </c>
      <c r="T27" s="190" t="str">
        <f t="shared" si="8"/>
        <v/>
      </c>
      <c r="U27" s="193" t="str">
        <f t="shared" si="9"/>
        <v/>
      </c>
      <c r="V27" s="56">
        <f>Company_RI!$D$30</f>
        <v>0.19345000000000001</v>
      </c>
      <c r="W27" s="185" t="str">
        <f t="shared" si="10"/>
        <v/>
      </c>
      <c r="X27" s="185" t="str">
        <f t="shared" si="11"/>
        <v/>
      </c>
      <c r="Y27" s="185" t="str">
        <f t="shared" si="12"/>
        <v/>
      </c>
      <c r="Z27" s="201" t="str">
        <f t="shared" si="13"/>
        <v/>
      </c>
      <c r="AA27" s="202" t="str">
        <f>IF(OR(O27="",O27=0),"",ROUND(-LN(0.75)/Company_RI!$D$31,0))</f>
        <v/>
      </c>
      <c r="AB27" s="202" t="str">
        <f>IF(OR(O27="",O27=0),"",ROUND(-LN(0.5)/Company_RI!$D$31,0))</f>
        <v/>
      </c>
      <c r="AC27" s="202" t="str">
        <f>IF(OR(O27="",O27=0),"",ROUND(-LN(0.25)/Company_RI!$D$31,0))</f>
        <v/>
      </c>
      <c r="AD27" s="202" t="str">
        <f>IF(OR(O27="",O27=0),"",ROUND(-LN(0.05)/Company_RI!$D$31,0))</f>
        <v/>
      </c>
      <c r="AE27" s="192"/>
      <c r="AF27" s="180" t="str">
        <f>IF('Top 10 Risks'!E30="","",'Top 10 Risks'!E30)</f>
        <v/>
      </c>
    </row>
    <row r="28" spans="1:32" ht="18" customHeight="1" x14ac:dyDescent="0.25">
      <c r="A28" s="179" t="str">
        <f>IF('Top 10 Risks'!D31="","",'Top 10 Risks'!C31)</f>
        <v/>
      </c>
      <c r="B28" s="180" t="str">
        <f>IF('Top 10 Risks'!D31="","",'Top 10 Risks'!D31)</f>
        <v/>
      </c>
      <c r="C28" s="179" t="str">
        <f>IF(RADAR!C28="","",RADAR!C28)</f>
        <v/>
      </c>
      <c r="D28" s="182" t="str">
        <f>IF(RADAR!D28="","",RADAR!D28)</f>
        <v/>
      </c>
      <c r="E28" s="183" t="str">
        <f>IF(RADAR!E28="","",RADAR!E28)</f>
        <v/>
      </c>
      <c r="F28" s="184" t="str">
        <f t="shared" si="0"/>
        <v/>
      </c>
      <c r="G28" s="185" t="str">
        <f t="shared" si="1"/>
        <v/>
      </c>
      <c r="H28" s="192"/>
      <c r="I28" s="56">
        <f>CORE!$D$36</f>
        <v>6.8849999999999998</v>
      </c>
      <c r="J28" s="56">
        <f>CORE!$D$44</f>
        <v>6.4749999999999996</v>
      </c>
      <c r="K28" s="199" t="str">
        <f>IF('Top 10 Risks'!D31="","",10*(IF(OR('Risk Control'!E30=FALSE(),'Risk Control'!E30=""),0,'Risk Control'!E30/4)*0.2+IF(OR('Risk Control'!L30=FALSE(),'Risk Control'!L30=""),0,'Risk Control'!L30/4)*0.15+IF(OR('Risk Control'!S30=FALSE(),'Risk Control'!S30=""),0,'Risk Control'!S30/5)*0.25+IF(OR('Risk Control'!AA30=FALSE(),'Risk Control'!AA30=""),0,'Risk Control'!AA30/5)*0.25+IF(OR('Risk Control'!AI30=FALSE(),'Risk Control'!AI30=""),0,'Risk Control'!AI30/5)*0.15))</f>
        <v/>
      </c>
      <c r="L28" s="200">
        <f t="shared" si="2"/>
        <v>0</v>
      </c>
      <c r="M28" s="56">
        <f>Company_RI!$F$22/10</f>
        <v>0.78</v>
      </c>
      <c r="N28" s="200">
        <f t="shared" si="3"/>
        <v>0</v>
      </c>
      <c r="O28" s="186" t="str">
        <f t="shared" si="4"/>
        <v/>
      </c>
      <c r="P28" s="185" t="str">
        <f t="shared" si="5"/>
        <v/>
      </c>
      <c r="Q28" s="184" t="str">
        <f t="shared" si="6"/>
        <v/>
      </c>
      <c r="R28" s="56" t="str">
        <f>IF(OR(O28="",O28=0),"",O28*Company_RI!$D$32)</f>
        <v/>
      </c>
      <c r="S28" s="187" t="str">
        <f t="shared" si="7"/>
        <v/>
      </c>
      <c r="T28" s="190" t="str">
        <f t="shared" si="8"/>
        <v/>
      </c>
      <c r="U28" s="193" t="str">
        <f t="shared" si="9"/>
        <v/>
      </c>
      <c r="V28" s="56">
        <f>Company_RI!$D$30</f>
        <v>0.19345000000000001</v>
      </c>
      <c r="W28" s="185" t="str">
        <f t="shared" si="10"/>
        <v/>
      </c>
      <c r="X28" s="185" t="str">
        <f t="shared" si="11"/>
        <v/>
      </c>
      <c r="Y28" s="185" t="str">
        <f t="shared" si="12"/>
        <v/>
      </c>
      <c r="Z28" s="201" t="str">
        <f t="shared" si="13"/>
        <v/>
      </c>
      <c r="AA28" s="202" t="str">
        <f>IF(OR(O28="",O28=0),"",ROUND(-LN(0.75)/Company_RI!$D$31,0))</f>
        <v/>
      </c>
      <c r="AB28" s="202" t="str">
        <f>IF(OR(O28="",O28=0),"",ROUND(-LN(0.5)/Company_RI!$D$31,0))</f>
        <v/>
      </c>
      <c r="AC28" s="202" t="str">
        <f>IF(OR(O28="",O28=0),"",ROUND(-LN(0.25)/Company_RI!$D$31,0))</f>
        <v/>
      </c>
      <c r="AD28" s="202" t="str">
        <f>IF(OR(O28="",O28=0),"",ROUND(-LN(0.05)/Company_RI!$D$31,0))</f>
        <v/>
      </c>
      <c r="AE28" s="192"/>
      <c r="AF28" s="180" t="str">
        <f>IF('Top 10 Risks'!E31="","",'Top 10 Risks'!E31)</f>
        <v/>
      </c>
    </row>
    <row r="29" spans="1:32" ht="18" customHeight="1" x14ac:dyDescent="0.25">
      <c r="A29" s="179" t="str">
        <f>IF('Top 10 Risks'!D32="","",'Top 10 Risks'!C32)</f>
        <v/>
      </c>
      <c r="B29" s="180" t="str">
        <f>IF('Top 10 Risks'!D32="","",'Top 10 Risks'!D32)</f>
        <v/>
      </c>
      <c r="C29" s="179" t="str">
        <f>IF(RADAR!C29="","",RADAR!C29)</f>
        <v/>
      </c>
      <c r="D29" s="182" t="str">
        <f>IF(RADAR!D29="","",RADAR!D29)</f>
        <v/>
      </c>
      <c r="E29" s="183" t="str">
        <f>IF(RADAR!E29="","",RADAR!E29)</f>
        <v/>
      </c>
      <c r="F29" s="184" t="str">
        <f t="shared" si="0"/>
        <v/>
      </c>
      <c r="G29" s="185" t="str">
        <f t="shared" si="1"/>
        <v/>
      </c>
      <c r="H29" s="192"/>
      <c r="I29" s="56">
        <f>CORE!$D$36</f>
        <v>6.8849999999999998</v>
      </c>
      <c r="J29" s="56">
        <f>CORE!$D$44</f>
        <v>6.4749999999999996</v>
      </c>
      <c r="K29" s="199" t="str">
        <f>IF('Top 10 Risks'!D32="","",10*(IF(OR('Risk Control'!E31=FALSE(),'Risk Control'!E31=""),0,'Risk Control'!E31/4)*0.2+IF(OR('Risk Control'!L31=FALSE(),'Risk Control'!L31=""),0,'Risk Control'!L31/4)*0.15+IF(OR('Risk Control'!S31=FALSE(),'Risk Control'!S31=""),0,'Risk Control'!S31/5)*0.25+IF(OR('Risk Control'!AA31=FALSE(),'Risk Control'!AA31=""),0,'Risk Control'!AA31/5)*0.25+IF(OR('Risk Control'!AI31=FALSE(),'Risk Control'!AI31=""),0,'Risk Control'!AI31/5)*0.15))</f>
        <v/>
      </c>
      <c r="L29" s="200">
        <f t="shared" si="2"/>
        <v>0</v>
      </c>
      <c r="M29" s="56">
        <f>Company_RI!$F$22/10</f>
        <v>0.78</v>
      </c>
      <c r="N29" s="200">
        <f t="shared" si="3"/>
        <v>0</v>
      </c>
      <c r="O29" s="186" t="str">
        <f t="shared" si="4"/>
        <v/>
      </c>
      <c r="P29" s="185" t="str">
        <f t="shared" si="5"/>
        <v/>
      </c>
      <c r="Q29" s="184" t="str">
        <f t="shared" si="6"/>
        <v/>
      </c>
      <c r="R29" s="56" t="str">
        <f>IF(OR(O29="",O29=0),"",O29*Company_RI!$D$32)</f>
        <v/>
      </c>
      <c r="S29" s="187" t="str">
        <f t="shared" si="7"/>
        <v/>
      </c>
      <c r="T29" s="190" t="str">
        <f t="shared" si="8"/>
        <v/>
      </c>
      <c r="U29" s="193" t="str">
        <f t="shared" si="9"/>
        <v/>
      </c>
      <c r="V29" s="56">
        <f>Company_RI!$D$30</f>
        <v>0.19345000000000001</v>
      </c>
      <c r="W29" s="185" t="str">
        <f t="shared" si="10"/>
        <v/>
      </c>
      <c r="X29" s="185" t="str">
        <f t="shared" si="11"/>
        <v/>
      </c>
      <c r="Y29" s="185" t="str">
        <f t="shared" si="12"/>
        <v/>
      </c>
      <c r="Z29" s="201" t="str">
        <f t="shared" si="13"/>
        <v/>
      </c>
      <c r="AA29" s="202" t="str">
        <f>IF(OR(O29="",O29=0),"",ROUND(-LN(0.75)/Company_RI!$D$31,0))</f>
        <v/>
      </c>
      <c r="AB29" s="202" t="str">
        <f>IF(OR(O29="",O29=0),"",ROUND(-LN(0.5)/Company_RI!$D$31,0))</f>
        <v/>
      </c>
      <c r="AC29" s="202" t="str">
        <f>IF(OR(O29="",O29=0),"",ROUND(-LN(0.25)/Company_RI!$D$31,0))</f>
        <v/>
      </c>
      <c r="AD29" s="202" t="str">
        <f>IF(OR(O29="",O29=0),"",ROUND(-LN(0.05)/Company_RI!$D$31,0))</f>
        <v/>
      </c>
      <c r="AE29" s="192"/>
      <c r="AF29" s="180" t="str">
        <f>IF('Top 10 Risks'!E32="","",'Top 10 Risks'!E32)</f>
        <v/>
      </c>
    </row>
    <row r="30" spans="1:32" ht="18" customHeight="1" x14ac:dyDescent="0.25">
      <c r="A30" s="179" t="str">
        <f>IF('Top 10 Risks'!D33="","",'Top 10 Risks'!C33)</f>
        <v/>
      </c>
      <c r="B30" s="180" t="str">
        <f>IF('Top 10 Risks'!D33="","",'Top 10 Risks'!D33)</f>
        <v/>
      </c>
      <c r="C30" s="179" t="str">
        <f>IF(RADAR!C30="","",RADAR!C30)</f>
        <v/>
      </c>
      <c r="D30" s="182" t="str">
        <f>IF(RADAR!D30="","",RADAR!D30)</f>
        <v/>
      </c>
      <c r="E30" s="183" t="str">
        <f>IF(RADAR!E30="","",RADAR!E30)</f>
        <v/>
      </c>
      <c r="F30" s="184" t="str">
        <f t="shared" si="0"/>
        <v/>
      </c>
      <c r="G30" s="185" t="str">
        <f t="shared" si="1"/>
        <v/>
      </c>
      <c r="H30" s="192"/>
      <c r="I30" s="56">
        <f>CORE!$D$36</f>
        <v>6.8849999999999998</v>
      </c>
      <c r="J30" s="56">
        <f>CORE!$D$44</f>
        <v>6.4749999999999996</v>
      </c>
      <c r="K30" s="199" t="str">
        <f>IF('Top 10 Risks'!D33="","",10*(IF(OR('Risk Control'!E32=FALSE(),'Risk Control'!E32=""),0,'Risk Control'!E32/4)*0.2+IF(OR('Risk Control'!L32=FALSE(),'Risk Control'!L32=""),0,'Risk Control'!L32/4)*0.15+IF(OR('Risk Control'!S32=FALSE(),'Risk Control'!S32=""),0,'Risk Control'!S32/5)*0.25+IF(OR('Risk Control'!AA32=FALSE(),'Risk Control'!AA32=""),0,'Risk Control'!AA32/5)*0.25+IF(OR('Risk Control'!AI32=FALSE(),'Risk Control'!AI32=""),0,'Risk Control'!AI32/5)*0.15))</f>
        <v/>
      </c>
      <c r="L30" s="200">
        <f t="shared" si="2"/>
        <v>0</v>
      </c>
      <c r="M30" s="56">
        <f>Company_RI!$F$22/10</f>
        <v>0.78</v>
      </c>
      <c r="N30" s="200">
        <f t="shared" si="3"/>
        <v>0</v>
      </c>
      <c r="O30" s="186" t="str">
        <f t="shared" si="4"/>
        <v/>
      </c>
      <c r="P30" s="185" t="str">
        <f t="shared" si="5"/>
        <v/>
      </c>
      <c r="Q30" s="184" t="str">
        <f t="shared" si="6"/>
        <v/>
      </c>
      <c r="R30" s="56" t="str">
        <f>IF(OR(O30="",O30=0),"",O30*Company_RI!$D$32)</f>
        <v/>
      </c>
      <c r="S30" s="187" t="str">
        <f t="shared" si="7"/>
        <v/>
      </c>
      <c r="T30" s="190" t="str">
        <f t="shared" si="8"/>
        <v/>
      </c>
      <c r="U30" s="193" t="str">
        <f t="shared" si="9"/>
        <v/>
      </c>
      <c r="V30" s="56">
        <f>Company_RI!$D$30</f>
        <v>0.19345000000000001</v>
      </c>
      <c r="W30" s="185" t="str">
        <f t="shared" si="10"/>
        <v/>
      </c>
      <c r="X30" s="185" t="str">
        <f t="shared" si="11"/>
        <v/>
      </c>
      <c r="Y30" s="185" t="str">
        <f t="shared" si="12"/>
        <v/>
      </c>
      <c r="Z30" s="201" t="str">
        <f t="shared" si="13"/>
        <v/>
      </c>
      <c r="AA30" s="202" t="str">
        <f>IF(OR(O30="",O30=0),"",ROUND(-LN(0.75)/Company_RI!$D$31,0))</f>
        <v/>
      </c>
      <c r="AB30" s="202" t="str">
        <f>IF(OR(O30="",O30=0),"",ROUND(-LN(0.5)/Company_RI!$D$31,0))</f>
        <v/>
      </c>
      <c r="AC30" s="202" t="str">
        <f>IF(OR(O30="",O30=0),"",ROUND(-LN(0.25)/Company_RI!$D$31,0))</f>
        <v/>
      </c>
      <c r="AD30" s="202" t="str">
        <f>IF(OR(O30="",O30=0),"",ROUND(-LN(0.05)/Company_RI!$D$31,0))</f>
        <v/>
      </c>
      <c r="AE30" s="192"/>
      <c r="AF30" s="180" t="str">
        <f>IF('Top 10 Risks'!E33="","",'Top 10 Risks'!E33)</f>
        <v/>
      </c>
    </row>
    <row r="31" spans="1:32" ht="18" customHeight="1" x14ac:dyDescent="0.25">
      <c r="A31" s="179" t="str">
        <f>IF('Top 10 Risks'!D34="","",'Top 10 Risks'!C34)</f>
        <v/>
      </c>
      <c r="B31" s="180" t="str">
        <f>IF('Top 10 Risks'!D34="","",'Top 10 Risks'!D34)</f>
        <v/>
      </c>
      <c r="C31" s="179" t="str">
        <f>IF(RADAR!C31="","",RADAR!C31)</f>
        <v/>
      </c>
      <c r="D31" s="182" t="str">
        <f>IF(RADAR!D31="","",RADAR!D31)</f>
        <v/>
      </c>
      <c r="E31" s="183" t="str">
        <f>IF(RADAR!E31="","",RADAR!E31)</f>
        <v/>
      </c>
      <c r="F31" s="184" t="str">
        <f t="shared" si="0"/>
        <v/>
      </c>
      <c r="G31" s="185" t="str">
        <f t="shared" si="1"/>
        <v/>
      </c>
      <c r="H31" s="192"/>
      <c r="I31" s="56">
        <f>CORE!$D$36</f>
        <v>6.8849999999999998</v>
      </c>
      <c r="J31" s="56">
        <f>CORE!$D$44</f>
        <v>6.4749999999999996</v>
      </c>
      <c r="K31" s="199" t="str">
        <f>IF('Top 10 Risks'!D34="","",10*(IF(OR('Risk Control'!E33=FALSE(),'Risk Control'!E33=""),0,'Risk Control'!E33/4)*0.2+IF(OR('Risk Control'!L33=FALSE(),'Risk Control'!L33=""),0,'Risk Control'!L33/4)*0.15+IF(OR('Risk Control'!S33=FALSE(),'Risk Control'!S33=""),0,'Risk Control'!S33/5)*0.25+IF(OR('Risk Control'!AA33=FALSE(),'Risk Control'!AA33=""),0,'Risk Control'!AA33/5)*0.25+IF(OR('Risk Control'!AI33=FALSE(),'Risk Control'!AI33=""),0,'Risk Control'!AI33/5)*0.15))</f>
        <v/>
      </c>
      <c r="L31" s="200">
        <f t="shared" si="2"/>
        <v>0</v>
      </c>
      <c r="M31" s="56">
        <f>Company_RI!$F$22/10</f>
        <v>0.78</v>
      </c>
      <c r="N31" s="200">
        <f t="shared" si="3"/>
        <v>0</v>
      </c>
      <c r="O31" s="186" t="str">
        <f t="shared" si="4"/>
        <v/>
      </c>
      <c r="P31" s="185" t="str">
        <f t="shared" si="5"/>
        <v/>
      </c>
      <c r="Q31" s="184" t="str">
        <f t="shared" si="6"/>
        <v/>
      </c>
      <c r="R31" s="56" t="str">
        <f>IF(OR(O31="",O31=0),"",O31*Company_RI!$D$32)</f>
        <v/>
      </c>
      <c r="S31" s="187" t="str">
        <f t="shared" si="7"/>
        <v/>
      </c>
      <c r="T31" s="190" t="str">
        <f t="shared" si="8"/>
        <v/>
      </c>
      <c r="U31" s="193" t="str">
        <f t="shared" si="9"/>
        <v/>
      </c>
      <c r="V31" s="56">
        <f>Company_RI!$D$30</f>
        <v>0.19345000000000001</v>
      </c>
      <c r="W31" s="185" t="str">
        <f t="shared" si="10"/>
        <v/>
      </c>
      <c r="X31" s="185" t="str">
        <f t="shared" si="11"/>
        <v/>
      </c>
      <c r="Y31" s="185" t="str">
        <f t="shared" si="12"/>
        <v/>
      </c>
      <c r="Z31" s="201" t="str">
        <f t="shared" si="13"/>
        <v/>
      </c>
      <c r="AA31" s="202" t="str">
        <f>IF(OR(O31="",O31=0),"",ROUND(-LN(0.75)/Company_RI!$D$31,0))</f>
        <v/>
      </c>
      <c r="AB31" s="202" t="str">
        <f>IF(OR(O31="",O31=0),"",ROUND(-LN(0.5)/Company_RI!$D$31,0))</f>
        <v/>
      </c>
      <c r="AC31" s="202" t="str">
        <f>IF(OR(O31="",O31=0),"",ROUND(-LN(0.25)/Company_RI!$D$31,0))</f>
        <v/>
      </c>
      <c r="AD31" s="202" t="str">
        <f>IF(OR(O31="",O31=0),"",ROUND(-LN(0.05)/Company_RI!$D$31,0))</f>
        <v/>
      </c>
      <c r="AE31" s="192"/>
      <c r="AF31" s="180" t="str">
        <f>IF('Top 10 Risks'!E34="","",'Top 10 Risks'!E34)</f>
        <v/>
      </c>
    </row>
    <row r="32" spans="1:32" ht="18" customHeight="1" x14ac:dyDescent="0.25">
      <c r="A32" s="179" t="str">
        <f>IF('Top 10 Risks'!D35="","",'Top 10 Risks'!C35)</f>
        <v/>
      </c>
      <c r="B32" s="180" t="str">
        <f>IF('Top 10 Risks'!D35="","",'Top 10 Risks'!D35)</f>
        <v/>
      </c>
      <c r="C32" s="179" t="str">
        <f>IF(RADAR!C32="","",RADAR!C32)</f>
        <v/>
      </c>
      <c r="D32" s="182" t="str">
        <f>IF(RADAR!D32="","",RADAR!D32)</f>
        <v/>
      </c>
      <c r="E32" s="183" t="str">
        <f>IF(RADAR!E32="","",RADAR!E32)</f>
        <v/>
      </c>
      <c r="F32" s="184" t="str">
        <f t="shared" si="0"/>
        <v/>
      </c>
      <c r="G32" s="185" t="str">
        <f t="shared" si="1"/>
        <v/>
      </c>
      <c r="H32" s="192"/>
      <c r="I32" s="56">
        <f>CORE!$D$36</f>
        <v>6.8849999999999998</v>
      </c>
      <c r="J32" s="56">
        <f>CORE!$D$44</f>
        <v>6.4749999999999996</v>
      </c>
      <c r="K32" s="199" t="str">
        <f>IF('Top 10 Risks'!D35="","",10*(IF(OR('Risk Control'!E34=FALSE(),'Risk Control'!E34=""),0,'Risk Control'!E34/4)*0.2+IF(OR('Risk Control'!L34=FALSE(),'Risk Control'!L34=""),0,'Risk Control'!L34/4)*0.15+IF(OR('Risk Control'!S34=FALSE(),'Risk Control'!S34=""),0,'Risk Control'!S34/5)*0.25+IF(OR('Risk Control'!AA34=FALSE(),'Risk Control'!AA34=""),0,'Risk Control'!AA34/5)*0.25+IF(OR('Risk Control'!AI34=FALSE(),'Risk Control'!AI34=""),0,'Risk Control'!AI34/5)*0.15))</f>
        <v/>
      </c>
      <c r="L32" s="200">
        <f t="shared" si="2"/>
        <v>0</v>
      </c>
      <c r="M32" s="56">
        <f>Company_RI!$F$22/10</f>
        <v>0.78</v>
      </c>
      <c r="N32" s="200">
        <f t="shared" si="3"/>
        <v>0</v>
      </c>
      <c r="O32" s="186" t="str">
        <f t="shared" si="4"/>
        <v/>
      </c>
      <c r="P32" s="185" t="str">
        <f t="shared" si="5"/>
        <v/>
      </c>
      <c r="Q32" s="184" t="str">
        <f t="shared" si="6"/>
        <v/>
      </c>
      <c r="R32" s="56" t="str">
        <f>IF(OR(O32="",O32=0),"",O32*Company_RI!$D$32)</f>
        <v/>
      </c>
      <c r="S32" s="187" t="str">
        <f t="shared" si="7"/>
        <v/>
      </c>
      <c r="T32" s="190" t="str">
        <f t="shared" si="8"/>
        <v/>
      </c>
      <c r="U32" s="193" t="str">
        <f t="shared" si="9"/>
        <v/>
      </c>
      <c r="V32" s="56">
        <f>Company_RI!$D$30</f>
        <v>0.19345000000000001</v>
      </c>
      <c r="W32" s="185" t="str">
        <f t="shared" si="10"/>
        <v/>
      </c>
      <c r="X32" s="185" t="str">
        <f t="shared" si="11"/>
        <v/>
      </c>
      <c r="Y32" s="185" t="str">
        <f t="shared" si="12"/>
        <v/>
      </c>
      <c r="Z32" s="201" t="str">
        <f t="shared" si="13"/>
        <v/>
      </c>
      <c r="AA32" s="202" t="str">
        <f>IF(OR(O32="",O32=0),"",ROUND(-LN(0.75)/Company_RI!$D$31,0))</f>
        <v/>
      </c>
      <c r="AB32" s="202" t="str">
        <f>IF(OR(O32="",O32=0),"",ROUND(-LN(0.5)/Company_RI!$D$31,0))</f>
        <v/>
      </c>
      <c r="AC32" s="202" t="str">
        <f>IF(OR(O32="",O32=0),"",ROUND(-LN(0.25)/Company_RI!$D$31,0))</f>
        <v/>
      </c>
      <c r="AD32" s="202" t="str">
        <f>IF(OR(O32="",O32=0),"",ROUND(-LN(0.05)/Company_RI!$D$31,0))</f>
        <v/>
      </c>
      <c r="AE32" s="192"/>
      <c r="AF32" s="180" t="str">
        <f>IF('Top 10 Risks'!E35="","",'Top 10 Risks'!E35)</f>
        <v/>
      </c>
    </row>
    <row r="33" spans="1:32" ht="18" customHeight="1" x14ac:dyDescent="0.25">
      <c r="A33" s="179" t="str">
        <f>IF('Top 10 Risks'!D36="","",'Top 10 Risks'!C36)</f>
        <v/>
      </c>
      <c r="B33" s="180" t="str">
        <f>IF('Top 10 Risks'!D36="","",'Top 10 Risks'!D36)</f>
        <v/>
      </c>
      <c r="C33" s="179" t="str">
        <f>IF(RADAR!C33="","",RADAR!C33)</f>
        <v/>
      </c>
      <c r="D33" s="182" t="str">
        <f>IF(RADAR!D33="","",RADAR!D33)</f>
        <v/>
      </c>
      <c r="E33" s="183" t="str">
        <f>IF(RADAR!E33="","",RADAR!E33)</f>
        <v/>
      </c>
      <c r="F33" s="184" t="str">
        <f t="shared" si="0"/>
        <v/>
      </c>
      <c r="G33" s="185" t="str">
        <f t="shared" si="1"/>
        <v/>
      </c>
      <c r="H33" s="192"/>
      <c r="I33" s="56">
        <f>CORE!$D$36</f>
        <v>6.8849999999999998</v>
      </c>
      <c r="J33" s="56">
        <f>CORE!$D$44</f>
        <v>6.4749999999999996</v>
      </c>
      <c r="K33" s="199" t="str">
        <f>IF('Top 10 Risks'!D36="","",10*(IF(OR('Risk Control'!E35=FALSE(),'Risk Control'!E35=""),0,'Risk Control'!E35/4)*0.2+IF(OR('Risk Control'!L35=FALSE(),'Risk Control'!L35=""),0,'Risk Control'!L35/4)*0.15+IF(OR('Risk Control'!S35=FALSE(),'Risk Control'!S35=""),0,'Risk Control'!S35/5)*0.25+IF(OR('Risk Control'!AA35=FALSE(),'Risk Control'!AA35=""),0,'Risk Control'!AA35/5)*0.25+IF(OR('Risk Control'!AI35=FALSE(),'Risk Control'!AI35=""),0,'Risk Control'!AI35/5)*0.15))</f>
        <v/>
      </c>
      <c r="L33" s="200">
        <f t="shared" si="2"/>
        <v>0</v>
      </c>
      <c r="M33" s="56">
        <f>Company_RI!$F$22/10</f>
        <v>0.78</v>
      </c>
      <c r="N33" s="200">
        <f t="shared" si="3"/>
        <v>0</v>
      </c>
      <c r="O33" s="186" t="str">
        <f t="shared" si="4"/>
        <v/>
      </c>
      <c r="P33" s="185" t="str">
        <f t="shared" si="5"/>
        <v/>
      </c>
      <c r="Q33" s="184" t="str">
        <f t="shared" si="6"/>
        <v/>
      </c>
      <c r="R33" s="56" t="str">
        <f>IF(OR(O33="",O33=0),"",O33*Company_RI!$D$32)</f>
        <v/>
      </c>
      <c r="S33" s="187" t="str">
        <f t="shared" si="7"/>
        <v/>
      </c>
      <c r="T33" s="190" t="str">
        <f t="shared" si="8"/>
        <v/>
      </c>
      <c r="U33" s="193" t="str">
        <f t="shared" si="9"/>
        <v/>
      </c>
      <c r="V33" s="56">
        <f>Company_RI!$D$30</f>
        <v>0.19345000000000001</v>
      </c>
      <c r="W33" s="185" t="str">
        <f t="shared" si="10"/>
        <v/>
      </c>
      <c r="X33" s="185" t="str">
        <f t="shared" si="11"/>
        <v/>
      </c>
      <c r="Y33" s="185" t="str">
        <f t="shared" si="12"/>
        <v/>
      </c>
      <c r="Z33" s="201" t="str">
        <f t="shared" si="13"/>
        <v/>
      </c>
      <c r="AA33" s="202" t="str">
        <f>IF(OR(O33="",O33=0),"",ROUND(-LN(0.75)/Company_RI!$D$31,0))</f>
        <v/>
      </c>
      <c r="AB33" s="202" t="str">
        <f>IF(OR(O33="",O33=0),"",ROUND(-LN(0.5)/Company_RI!$D$31,0))</f>
        <v/>
      </c>
      <c r="AC33" s="202" t="str">
        <f>IF(OR(O33="",O33=0),"",ROUND(-LN(0.25)/Company_RI!$D$31,0))</f>
        <v/>
      </c>
      <c r="AD33" s="202" t="str">
        <f>IF(OR(O33="",O33=0),"",ROUND(-LN(0.05)/Company_RI!$D$31,0))</f>
        <v/>
      </c>
      <c r="AE33" s="192"/>
      <c r="AF33" s="180" t="str">
        <f>IF('Top 10 Risks'!E36="","",'Top 10 Risks'!E36)</f>
        <v/>
      </c>
    </row>
    <row r="34" spans="1:32" ht="18" customHeight="1" x14ac:dyDescent="0.25">
      <c r="A34" s="179" t="str">
        <f>IF('Top 10 Risks'!D37="","",'Top 10 Risks'!C37)</f>
        <v/>
      </c>
      <c r="B34" s="180" t="str">
        <f>IF('Top 10 Risks'!D37="","",'Top 10 Risks'!D37)</f>
        <v/>
      </c>
      <c r="C34" s="179" t="str">
        <f>IF(RADAR!C34="","",RADAR!C34)</f>
        <v/>
      </c>
      <c r="D34" s="182" t="str">
        <f>IF(RADAR!D34="","",RADAR!D34)</f>
        <v/>
      </c>
      <c r="E34" s="183" t="str">
        <f>IF(RADAR!E34="","",RADAR!E34)</f>
        <v/>
      </c>
      <c r="F34" s="184" t="str">
        <f t="shared" si="0"/>
        <v/>
      </c>
      <c r="G34" s="185" t="str">
        <f t="shared" si="1"/>
        <v/>
      </c>
      <c r="H34" s="192"/>
      <c r="I34" s="56">
        <f>CORE!$D$36</f>
        <v>6.8849999999999998</v>
      </c>
      <c r="J34" s="56">
        <f>CORE!$D$44</f>
        <v>6.4749999999999996</v>
      </c>
      <c r="K34" s="199" t="str">
        <f>IF('Top 10 Risks'!D37="","",10*(IF(OR('Risk Control'!E36=FALSE(),'Risk Control'!E36=""),0,'Risk Control'!E36/4)*0.2+IF(OR('Risk Control'!L36=FALSE(),'Risk Control'!L36=""),0,'Risk Control'!L36/4)*0.15+IF(OR('Risk Control'!S36=FALSE(),'Risk Control'!S36=""),0,'Risk Control'!S36/5)*0.25+IF(OR('Risk Control'!AA36=FALSE(),'Risk Control'!AA36=""),0,'Risk Control'!AA36/5)*0.25+IF(OR('Risk Control'!AI36=FALSE(),'Risk Control'!AI36=""),0,'Risk Control'!AI36/5)*0.15))</f>
        <v/>
      </c>
      <c r="L34" s="200">
        <f t="shared" si="2"/>
        <v>0</v>
      </c>
      <c r="M34" s="56">
        <f>Company_RI!$F$22/10</f>
        <v>0.78</v>
      </c>
      <c r="N34" s="200">
        <f t="shared" si="3"/>
        <v>0</v>
      </c>
      <c r="O34" s="186" t="str">
        <f t="shared" si="4"/>
        <v/>
      </c>
      <c r="P34" s="185" t="str">
        <f t="shared" si="5"/>
        <v/>
      </c>
      <c r="Q34" s="184" t="str">
        <f t="shared" si="6"/>
        <v/>
      </c>
      <c r="R34" s="56" t="str">
        <f>IF(OR(O34="",O34=0),"",O34*Company_RI!$D$32)</f>
        <v/>
      </c>
      <c r="S34" s="187" t="str">
        <f t="shared" si="7"/>
        <v/>
      </c>
      <c r="T34" s="190" t="str">
        <f t="shared" si="8"/>
        <v/>
      </c>
      <c r="U34" s="193" t="str">
        <f t="shared" si="9"/>
        <v/>
      </c>
      <c r="V34" s="56">
        <f>Company_RI!$D$30</f>
        <v>0.19345000000000001</v>
      </c>
      <c r="W34" s="185" t="str">
        <f t="shared" si="10"/>
        <v/>
      </c>
      <c r="X34" s="185" t="str">
        <f t="shared" si="11"/>
        <v/>
      </c>
      <c r="Y34" s="185" t="str">
        <f t="shared" si="12"/>
        <v/>
      </c>
      <c r="Z34" s="201" t="str">
        <f t="shared" si="13"/>
        <v/>
      </c>
      <c r="AA34" s="202" t="str">
        <f>IF(OR(O34="",O34=0),"",ROUND(-LN(0.75)/Company_RI!$D$31,0))</f>
        <v/>
      </c>
      <c r="AB34" s="202" t="str">
        <f>IF(OR(O34="",O34=0),"",ROUND(-LN(0.5)/Company_RI!$D$31,0))</f>
        <v/>
      </c>
      <c r="AC34" s="202" t="str">
        <f>IF(OR(O34="",O34=0),"",ROUND(-LN(0.25)/Company_RI!$D$31,0))</f>
        <v/>
      </c>
      <c r="AD34" s="202" t="str">
        <f>IF(OR(O34="",O34=0),"",ROUND(-LN(0.05)/Company_RI!$D$31,0))</f>
        <v/>
      </c>
      <c r="AE34" s="192"/>
      <c r="AF34" s="180" t="str">
        <f>IF('Top 10 Risks'!E37="","",'Top 10 Risks'!E37)</f>
        <v/>
      </c>
    </row>
    <row r="35" spans="1:32" ht="18" customHeight="1" x14ac:dyDescent="0.25">
      <c r="A35" s="179" t="str">
        <f>IF('Top 10 Risks'!D38="","",'Top 10 Risks'!C38)</f>
        <v/>
      </c>
      <c r="B35" s="180" t="str">
        <f>IF('Top 10 Risks'!D38="","",'Top 10 Risks'!D38)</f>
        <v/>
      </c>
      <c r="C35" s="179" t="str">
        <f>IF(RADAR!C35="","",RADAR!C35)</f>
        <v/>
      </c>
      <c r="D35" s="182" t="str">
        <f>IF(RADAR!D35="","",RADAR!D35)</f>
        <v/>
      </c>
      <c r="E35" s="183" t="str">
        <f>IF(RADAR!E35="","",RADAR!E35)</f>
        <v/>
      </c>
      <c r="F35" s="184" t="str">
        <f t="shared" si="0"/>
        <v/>
      </c>
      <c r="G35" s="185" t="str">
        <f t="shared" si="1"/>
        <v/>
      </c>
      <c r="H35" s="192"/>
      <c r="I35" s="56">
        <f>CORE!$D$36</f>
        <v>6.8849999999999998</v>
      </c>
      <c r="J35" s="56">
        <f>CORE!$D$44</f>
        <v>6.4749999999999996</v>
      </c>
      <c r="K35" s="199" t="str">
        <f>IF('Top 10 Risks'!D38="","",10*(IF(OR('Risk Control'!E37=FALSE(),'Risk Control'!E37=""),0,'Risk Control'!E37/4)*0.2+IF(OR('Risk Control'!L37=FALSE(),'Risk Control'!L37=""),0,'Risk Control'!L37/4)*0.15+IF(OR('Risk Control'!S37=FALSE(),'Risk Control'!S37=""),0,'Risk Control'!S37/5)*0.25+IF(OR('Risk Control'!AA37=FALSE(),'Risk Control'!AA37=""),0,'Risk Control'!AA37/5)*0.25+IF(OR('Risk Control'!AI37=FALSE(),'Risk Control'!AI37=""),0,'Risk Control'!AI37/5)*0.15))</f>
        <v/>
      </c>
      <c r="L35" s="200">
        <f t="shared" si="2"/>
        <v>0</v>
      </c>
      <c r="M35" s="56">
        <f>Company_RI!$F$22/10</f>
        <v>0.78</v>
      </c>
      <c r="N35" s="200">
        <f t="shared" si="3"/>
        <v>0</v>
      </c>
      <c r="O35" s="186" t="str">
        <f t="shared" si="4"/>
        <v/>
      </c>
      <c r="P35" s="185" t="str">
        <f t="shared" si="5"/>
        <v/>
      </c>
      <c r="Q35" s="184" t="str">
        <f t="shared" si="6"/>
        <v/>
      </c>
      <c r="R35" s="56" t="str">
        <f>IF(OR(O35="",O35=0),"",O35*Company_RI!$D$32)</f>
        <v/>
      </c>
      <c r="S35" s="187" t="str">
        <f t="shared" si="7"/>
        <v/>
      </c>
      <c r="T35" s="190" t="str">
        <f t="shared" si="8"/>
        <v/>
      </c>
      <c r="U35" s="193" t="str">
        <f t="shared" si="9"/>
        <v/>
      </c>
      <c r="V35" s="56">
        <f>Company_RI!$D$30</f>
        <v>0.19345000000000001</v>
      </c>
      <c r="W35" s="185" t="str">
        <f t="shared" si="10"/>
        <v/>
      </c>
      <c r="X35" s="185" t="str">
        <f t="shared" si="11"/>
        <v/>
      </c>
      <c r="Y35" s="185" t="str">
        <f t="shared" si="12"/>
        <v/>
      </c>
      <c r="Z35" s="201" t="str">
        <f t="shared" si="13"/>
        <v/>
      </c>
      <c r="AA35" s="202" t="str">
        <f>IF(OR(O35="",O35=0),"",ROUND(-LN(0.75)/Company_RI!$D$31,0))</f>
        <v/>
      </c>
      <c r="AB35" s="202" t="str">
        <f>IF(OR(O35="",O35=0),"",ROUND(-LN(0.5)/Company_RI!$D$31,0))</f>
        <v/>
      </c>
      <c r="AC35" s="202" t="str">
        <f>IF(OR(O35="",O35=0),"",ROUND(-LN(0.25)/Company_RI!$D$31,0))</f>
        <v/>
      </c>
      <c r="AD35" s="202" t="str">
        <f>IF(OR(O35="",O35=0),"",ROUND(-LN(0.05)/Company_RI!$D$31,0))</f>
        <v/>
      </c>
      <c r="AE35" s="192"/>
      <c r="AF35" s="180" t="str">
        <f>IF('Top 10 Risks'!E38="","",'Top 10 Risks'!E38)</f>
        <v/>
      </c>
    </row>
    <row r="36" spans="1:32" ht="18" customHeight="1" x14ac:dyDescent="0.25">
      <c r="A36" s="179" t="str">
        <f>IF('Top 10 Risks'!D39="","",'Top 10 Risks'!C39)</f>
        <v/>
      </c>
      <c r="B36" s="180" t="str">
        <f>IF('Top 10 Risks'!D39="","",'Top 10 Risks'!D39)</f>
        <v/>
      </c>
      <c r="C36" s="179" t="str">
        <f>IF(RADAR!C36="","",RADAR!C36)</f>
        <v/>
      </c>
      <c r="D36" s="182" t="str">
        <f>IF(RADAR!D36="","",RADAR!D36)</f>
        <v/>
      </c>
      <c r="E36" s="183" t="str">
        <f>IF(RADAR!E36="","",RADAR!E36)</f>
        <v/>
      </c>
      <c r="F36" s="184" t="str">
        <f t="shared" si="0"/>
        <v/>
      </c>
      <c r="G36" s="185" t="str">
        <f t="shared" si="1"/>
        <v/>
      </c>
      <c r="H36" s="192"/>
      <c r="I36" s="56">
        <f>CORE!$D$36</f>
        <v>6.8849999999999998</v>
      </c>
      <c r="J36" s="56">
        <f>CORE!$D$44</f>
        <v>6.4749999999999996</v>
      </c>
      <c r="K36" s="199" t="str">
        <f>IF('Top 10 Risks'!D39="","",10*(IF(OR('Risk Control'!E38=FALSE(),'Risk Control'!E38=""),0,'Risk Control'!E38/4)*0.2+IF(OR('Risk Control'!L38=FALSE(),'Risk Control'!L38=""),0,'Risk Control'!L38/4)*0.15+IF(OR('Risk Control'!S38=FALSE(),'Risk Control'!S38=""),0,'Risk Control'!S38/5)*0.25+IF(OR('Risk Control'!AA38=FALSE(),'Risk Control'!AA38=""),0,'Risk Control'!AA38/5)*0.25+IF(OR('Risk Control'!AI38=FALSE(),'Risk Control'!AI38=""),0,'Risk Control'!AI38/5)*0.15))</f>
        <v/>
      </c>
      <c r="L36" s="200">
        <f t="shared" si="2"/>
        <v>0</v>
      </c>
      <c r="M36" s="56">
        <f>Company_RI!$F$22/10</f>
        <v>0.78</v>
      </c>
      <c r="N36" s="200">
        <f t="shared" si="3"/>
        <v>0</v>
      </c>
      <c r="O36" s="186" t="str">
        <f t="shared" si="4"/>
        <v/>
      </c>
      <c r="P36" s="185" t="str">
        <f t="shared" si="5"/>
        <v/>
      </c>
      <c r="Q36" s="184" t="str">
        <f t="shared" si="6"/>
        <v/>
      </c>
      <c r="R36" s="56" t="str">
        <f>IF(OR(O36="",O36=0),"",O36*Company_RI!$D$32)</f>
        <v/>
      </c>
      <c r="S36" s="187" t="str">
        <f t="shared" si="7"/>
        <v/>
      </c>
      <c r="T36" s="190" t="str">
        <f t="shared" si="8"/>
        <v/>
      </c>
      <c r="U36" s="193" t="str">
        <f t="shared" si="9"/>
        <v/>
      </c>
      <c r="V36" s="56">
        <f>Company_RI!$D$30</f>
        <v>0.19345000000000001</v>
      </c>
      <c r="W36" s="185" t="str">
        <f t="shared" si="10"/>
        <v/>
      </c>
      <c r="X36" s="185" t="str">
        <f t="shared" si="11"/>
        <v/>
      </c>
      <c r="Y36" s="185" t="str">
        <f t="shared" si="12"/>
        <v/>
      </c>
      <c r="Z36" s="201" t="str">
        <f t="shared" si="13"/>
        <v/>
      </c>
      <c r="AA36" s="202" t="str">
        <f>IF(OR(O36="",O36=0),"",ROUND(-LN(0.75)/Company_RI!$D$31,0))</f>
        <v/>
      </c>
      <c r="AB36" s="202" t="str">
        <f>IF(OR(O36="",O36=0),"",ROUND(-LN(0.5)/Company_RI!$D$31,0))</f>
        <v/>
      </c>
      <c r="AC36" s="202" t="str">
        <f>IF(OR(O36="",O36=0),"",ROUND(-LN(0.25)/Company_RI!$D$31,0))</f>
        <v/>
      </c>
      <c r="AD36" s="202" t="str">
        <f>IF(OR(O36="",O36=0),"",ROUND(-LN(0.05)/Company_RI!$D$31,0))</f>
        <v/>
      </c>
      <c r="AE36" s="192"/>
      <c r="AF36" s="180" t="str">
        <f>IF('Top 10 Risks'!E39="","",'Top 10 Risks'!E39)</f>
        <v/>
      </c>
    </row>
    <row r="37" spans="1:32" ht="18" customHeight="1" x14ac:dyDescent="0.25">
      <c r="A37" s="194"/>
      <c r="E37" s="195"/>
      <c r="O37" s="196"/>
    </row>
  </sheetData>
  <mergeCells count="9">
    <mergeCell ref="A1:AD1"/>
    <mergeCell ref="A2:AD2"/>
    <mergeCell ref="A3:C3"/>
    <mergeCell ref="D3:G3"/>
    <mergeCell ref="I3:N3"/>
    <mergeCell ref="O3:S3"/>
    <mergeCell ref="T3:U3"/>
    <mergeCell ref="V3:Y3"/>
    <mergeCell ref="AA3:AD3"/>
  </mergeCells>
  <dataValidations count="2">
    <dataValidation type="whole" sqref="H6:H36" xr:uid="{00000000-0002-0000-0A00-000000000000}">
      <formula1>1</formula1>
      <formula2>10</formula2>
    </dataValidation>
    <dataValidation type="list" allowBlank="1" sqref="AE6:AE36" xr:uid="{00000000-0002-0000-0A00-000001000000}">
      <formula1>"MONITORING,PREPARING,ACTIVE,RESOLVED"</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8B57"/>
    <pageSetUpPr fitToPage="1"/>
  </sheetPr>
  <dimension ref="A1:Q36"/>
  <sheetViews>
    <sheetView zoomScaleNormal="100" workbookViewId="0">
      <pane ySplit="5" topLeftCell="A6" activePane="bottomLeft" state="frozen"/>
      <selection pane="bottomLeft" activeCell="F6" sqref="F6"/>
    </sheetView>
  </sheetViews>
  <sheetFormatPr defaultColWidth="8.7109375" defaultRowHeight="15" x14ac:dyDescent="0.25"/>
  <cols>
    <col min="1" max="1" width="6" customWidth="1"/>
    <col min="2" max="2" width="24" customWidth="1"/>
    <col min="3" max="3" width="12" customWidth="1"/>
    <col min="4" max="4" width="8" customWidth="1"/>
    <col min="5" max="5" width="12" customWidth="1"/>
    <col min="6" max="6" width="10" customWidth="1"/>
    <col min="7" max="7" width="12" customWidth="1"/>
    <col min="8" max="11" width="10" customWidth="1"/>
    <col min="12" max="13" width="12" customWidth="1"/>
    <col min="14" max="14" width="10" customWidth="1"/>
    <col min="15" max="16" width="12" customWidth="1"/>
    <col min="17" max="17" width="28" customWidth="1"/>
  </cols>
  <sheetData>
    <row r="1" spans="1:17" ht="17.25" customHeight="1" x14ac:dyDescent="0.25">
      <c r="A1" s="403" t="s">
        <v>597</v>
      </c>
      <c r="B1" s="403"/>
      <c r="C1" s="403"/>
      <c r="D1" s="403"/>
      <c r="E1" s="403"/>
      <c r="F1" s="403"/>
      <c r="G1" s="403"/>
      <c r="H1" s="403"/>
      <c r="I1" s="403"/>
      <c r="J1" s="403"/>
      <c r="K1" s="403"/>
      <c r="L1" s="403"/>
      <c r="M1" s="403"/>
      <c r="N1" s="403"/>
      <c r="O1" s="403"/>
      <c r="P1" s="403"/>
      <c r="Q1" s="403"/>
    </row>
    <row r="2" spans="1:17" ht="15" customHeight="1" x14ac:dyDescent="0.25">
      <c r="A2" s="398" t="s">
        <v>598</v>
      </c>
      <c r="B2" s="398"/>
      <c r="C2" s="398"/>
      <c r="D2" s="398"/>
      <c r="E2" s="398"/>
      <c r="F2" s="398"/>
      <c r="G2" s="398"/>
      <c r="H2" s="398"/>
      <c r="I2" s="398"/>
      <c r="J2" s="398"/>
      <c r="K2" s="398"/>
      <c r="L2" s="398"/>
      <c r="M2" s="398"/>
      <c r="N2" s="398"/>
      <c r="O2" s="398"/>
      <c r="P2" s="398"/>
      <c r="Q2" s="398"/>
    </row>
    <row r="3" spans="1:17" ht="15" customHeight="1" x14ac:dyDescent="0.25">
      <c r="A3" s="59" t="s">
        <v>599</v>
      </c>
      <c r="B3" s="82">
        <f>CORE!D44</f>
        <v>6.4749999999999996</v>
      </c>
      <c r="D3" s="59" t="s">
        <v>600</v>
      </c>
      <c r="E3" s="203">
        <f>Company_SMI!D26</f>
        <v>1.32375</v>
      </c>
    </row>
    <row r="5" spans="1:17" ht="30" customHeight="1" x14ac:dyDescent="0.25">
      <c r="A5" s="64" t="s">
        <v>523</v>
      </c>
      <c r="B5" s="64" t="s">
        <v>601</v>
      </c>
      <c r="C5" s="64" t="s">
        <v>87</v>
      </c>
      <c r="D5" s="64" t="s">
        <v>525</v>
      </c>
      <c r="E5" s="64" t="s">
        <v>602</v>
      </c>
      <c r="F5" s="64" t="s">
        <v>603</v>
      </c>
      <c r="G5" s="64" t="s">
        <v>604</v>
      </c>
      <c r="H5" s="64" t="s">
        <v>605</v>
      </c>
      <c r="I5" s="64" t="s">
        <v>606</v>
      </c>
      <c r="J5" s="64" t="s">
        <v>607</v>
      </c>
      <c r="K5" s="64" t="s">
        <v>608</v>
      </c>
      <c r="L5" s="64" t="s">
        <v>609</v>
      </c>
      <c r="M5" s="64" t="s">
        <v>610</v>
      </c>
      <c r="N5" s="64" t="s">
        <v>554</v>
      </c>
      <c r="O5" s="64" t="s">
        <v>326</v>
      </c>
      <c r="P5" s="64" t="s">
        <v>611</v>
      </c>
      <c r="Q5" s="64" t="s">
        <v>136</v>
      </c>
    </row>
    <row r="6" spans="1:17" ht="15" customHeight="1" x14ac:dyDescent="0.25">
      <c r="A6" s="204" t="s">
        <v>612</v>
      </c>
      <c r="B6" s="205" t="s">
        <v>613</v>
      </c>
      <c r="C6" s="205" t="s">
        <v>108</v>
      </c>
      <c r="D6" s="206">
        <v>0.6</v>
      </c>
      <c r="E6" s="207">
        <v>250</v>
      </c>
      <c r="F6" s="208">
        <f t="shared" ref="F6:F36" si="0">IF(E6="","",MIN(10,MAX(1,2*LN(E6+1))))</f>
        <v>10</v>
      </c>
      <c r="G6" s="209">
        <f t="shared" ref="G6:G36" si="1">IF(D6="","",D6*E6)</f>
        <v>150</v>
      </c>
      <c r="H6" s="205">
        <v>12</v>
      </c>
      <c r="I6" s="205">
        <v>8</v>
      </c>
      <c r="J6" s="210">
        <f>IF(I6="","",(I6/10)*(CORE!$D$44/10))</f>
        <v>0.51800000000000002</v>
      </c>
      <c r="K6" s="211">
        <f>IF(OR(J6="",H6="",H6=0),"",MIN(1,J6*D6*(10/H6)))</f>
        <v>0.25900000000000001</v>
      </c>
      <c r="L6" s="210">
        <f>IF(K6="","",K6*Company_SMI!$D$26)</f>
        <v>0.34285125</v>
      </c>
      <c r="M6" s="207">
        <v>40</v>
      </c>
      <c r="N6" s="212">
        <f t="shared" ref="N6:N20" si="2">IF(OR(G6="",M6="",M6=0),"",G6/M6)</f>
        <v>3.75</v>
      </c>
      <c r="O6" s="213" t="str">
        <f>IF(L6="","",IF(L6&gt;=0.7,"CAPTURE NOW",IF(L6&gt;=0.4,"PREPARE",IF(L6&gt;=0.2,"MONITOR","WATCH"))))</f>
        <v>MONITOR</v>
      </c>
      <c r="P6" s="205"/>
      <c r="Q6" s="205"/>
    </row>
    <row r="7" spans="1:17" ht="15" customHeight="1" x14ac:dyDescent="0.25">
      <c r="A7" s="2" t="s">
        <v>614</v>
      </c>
      <c r="B7" s="57" t="s">
        <v>615</v>
      </c>
      <c r="C7" s="57" t="s">
        <v>98</v>
      </c>
      <c r="D7" s="62">
        <v>0.45</v>
      </c>
      <c r="E7" s="60">
        <v>400</v>
      </c>
      <c r="F7" s="61">
        <f t="shared" si="0"/>
        <v>10</v>
      </c>
      <c r="G7" s="214">
        <f t="shared" si="1"/>
        <v>180</v>
      </c>
      <c r="H7" s="57">
        <v>18</v>
      </c>
      <c r="I7" s="57">
        <v>7</v>
      </c>
      <c r="J7" s="215">
        <f>IF(I7="","",(I7/10)*(CORE!$D$44/10))</f>
        <v>0.45324999999999993</v>
      </c>
      <c r="K7" s="76">
        <f>IF(OR(J7="",H7="",H7=0),"",MIN(1,J7*D7*(10/H7)))</f>
        <v>0.11331249999999998</v>
      </c>
      <c r="L7" s="215">
        <f>IF(K7="","",K7*Company_SMI!$D$26)</f>
        <v>0.14999742187499998</v>
      </c>
      <c r="M7" s="60">
        <v>80</v>
      </c>
      <c r="N7" s="216">
        <f t="shared" si="2"/>
        <v>2.25</v>
      </c>
      <c r="O7" s="217" t="str">
        <f>IF(L7="","",IF(L7&gt;=0.7,"CAPTURE NOW",IF(L7&gt;=0.4,"PREPARE",IF(L7&gt;=0.2,"MONITOR","WATCH"))))</f>
        <v>WATCH</v>
      </c>
      <c r="P7" s="57"/>
      <c r="Q7" s="57"/>
    </row>
    <row r="8" spans="1:17" ht="15" customHeight="1" x14ac:dyDescent="0.25">
      <c r="A8" s="204" t="s">
        <v>616</v>
      </c>
      <c r="B8" s="205" t="s">
        <v>617</v>
      </c>
      <c r="C8" s="205" t="s">
        <v>103</v>
      </c>
      <c r="D8" s="206">
        <v>0.7</v>
      </c>
      <c r="E8" s="207">
        <v>120</v>
      </c>
      <c r="F8" s="208">
        <f t="shared" si="0"/>
        <v>9.5915810911934827</v>
      </c>
      <c r="G8" s="209">
        <f t="shared" si="1"/>
        <v>84</v>
      </c>
      <c r="H8" s="205">
        <v>9</v>
      </c>
      <c r="I8" s="205">
        <v>9</v>
      </c>
      <c r="J8" s="210">
        <f>IF(I8="","",(I8/10)*(CORE!$D$44/10))</f>
        <v>0.58274999999999999</v>
      </c>
      <c r="K8" s="211">
        <f>IF(OR(J8="",H8="",H8=0),"",MIN(1,J8*D8*(10/H8)))</f>
        <v>0.45324999999999999</v>
      </c>
      <c r="L8" s="210">
        <f>IF(K8="","",K8*Company_SMI!$D$26)</f>
        <v>0.59998968749999992</v>
      </c>
      <c r="M8" s="207">
        <v>15</v>
      </c>
      <c r="N8" s="212">
        <f t="shared" si="2"/>
        <v>5.6</v>
      </c>
      <c r="O8" s="213" t="str">
        <f>IF(L8="","",IF(L8&gt;=0.7,"CAPTURE NOW",IF(L8&gt;=0.4,"PREPARE",IF(L8&gt;=0.2,"MONITOR","WATCH"))))</f>
        <v>PREPARE</v>
      </c>
      <c r="P8" s="205"/>
      <c r="Q8" s="205"/>
    </row>
    <row r="9" spans="1:17" ht="15" customHeight="1" x14ac:dyDescent="0.25">
      <c r="A9" s="193" t="s">
        <v>618</v>
      </c>
      <c r="B9" s="57"/>
      <c r="C9" s="57"/>
      <c r="D9" s="62"/>
      <c r="E9" s="60"/>
      <c r="F9" s="184" t="str">
        <f t="shared" si="0"/>
        <v/>
      </c>
      <c r="G9" s="185" t="str">
        <f t="shared" si="1"/>
        <v/>
      </c>
      <c r="H9" s="57"/>
      <c r="I9" s="57"/>
      <c r="J9" s="186" t="str">
        <f>IF(AND(I9&lt;&gt;"",CORE!$D$44&lt;&gt;""),I9/10*CORE!$D$44/10,"")</f>
        <v/>
      </c>
      <c r="K9" s="186" t="str">
        <f t="shared" ref="K9:K36" si="3">IF(AND(D9&lt;&gt;"",H9&lt;&gt;""),MIN(1,J9*D9*(10/H9)),"")</f>
        <v/>
      </c>
      <c r="L9" s="56" t="str">
        <f>IF(K9="","",K9*Company_SMI!$D$26)</f>
        <v/>
      </c>
      <c r="M9" s="60"/>
      <c r="N9" s="216" t="str">
        <f t="shared" si="2"/>
        <v/>
      </c>
      <c r="O9" s="193" t="str">
        <f t="shared" ref="O9:O36" si="4">IF(K9="","",IF(K9&gt;=0.7,"CAPTURE NOW",IF(K9&gt;=0.4,"PREPARE",IF(K9&gt;=0.2,"MONITOR","WATCH"))))</f>
        <v/>
      </c>
      <c r="P9" s="57"/>
      <c r="Q9" s="57"/>
    </row>
    <row r="10" spans="1:17" ht="15" customHeight="1" x14ac:dyDescent="0.25">
      <c r="A10" s="218" t="s">
        <v>619</v>
      </c>
      <c r="B10" s="205"/>
      <c r="C10" s="205"/>
      <c r="D10" s="206"/>
      <c r="E10" s="207"/>
      <c r="F10" s="219" t="str">
        <f t="shared" si="0"/>
        <v/>
      </c>
      <c r="G10" s="220" t="str">
        <f t="shared" si="1"/>
        <v/>
      </c>
      <c r="H10" s="205"/>
      <c r="I10" s="205"/>
      <c r="J10" s="221" t="str">
        <f>IF(AND(I10&lt;&gt;"",CORE!$D$44&lt;&gt;""),I10/10*CORE!$D$44/10,"")</f>
        <v/>
      </c>
      <c r="K10" s="221" t="str">
        <f t="shared" si="3"/>
        <v/>
      </c>
      <c r="L10" s="56" t="str">
        <f>IF(K10="","",K10*Company_SMI!$D$26)</f>
        <v/>
      </c>
      <c r="M10" s="207"/>
      <c r="N10" s="212" t="str">
        <f t="shared" si="2"/>
        <v/>
      </c>
      <c r="O10" s="218" t="str">
        <f t="shared" si="4"/>
        <v/>
      </c>
      <c r="P10" s="205"/>
      <c r="Q10" s="205"/>
    </row>
    <row r="11" spans="1:17" ht="15" customHeight="1" x14ac:dyDescent="0.25">
      <c r="A11" s="193" t="s">
        <v>620</v>
      </c>
      <c r="B11" s="57"/>
      <c r="C11" s="57"/>
      <c r="D11" s="62"/>
      <c r="E11" s="60"/>
      <c r="F11" s="184" t="str">
        <f t="shared" si="0"/>
        <v/>
      </c>
      <c r="G11" s="185" t="str">
        <f t="shared" si="1"/>
        <v/>
      </c>
      <c r="H11" s="57"/>
      <c r="I11" s="57"/>
      <c r="J11" s="186" t="str">
        <f>IF(AND(I11&lt;&gt;"",CORE!$D$44&lt;&gt;""),I11/10*CORE!$D$44/10,"")</f>
        <v/>
      </c>
      <c r="K11" s="186" t="str">
        <f t="shared" si="3"/>
        <v/>
      </c>
      <c r="L11" s="56" t="str">
        <f>IF(K11="","",K11*Company_SMI!$D$26)</f>
        <v/>
      </c>
      <c r="M11" s="60"/>
      <c r="N11" s="216" t="str">
        <f t="shared" si="2"/>
        <v/>
      </c>
      <c r="O11" s="193" t="str">
        <f t="shared" si="4"/>
        <v/>
      </c>
      <c r="P11" s="57"/>
      <c r="Q11" s="57"/>
    </row>
    <row r="12" spans="1:17" ht="15" customHeight="1" x14ac:dyDescent="0.25">
      <c r="A12" s="218" t="s">
        <v>621</v>
      </c>
      <c r="B12" s="205"/>
      <c r="C12" s="205"/>
      <c r="D12" s="206"/>
      <c r="E12" s="207"/>
      <c r="F12" s="219" t="str">
        <f t="shared" si="0"/>
        <v/>
      </c>
      <c r="G12" s="220" t="str">
        <f t="shared" si="1"/>
        <v/>
      </c>
      <c r="H12" s="205"/>
      <c r="I12" s="205"/>
      <c r="J12" s="221" t="str">
        <f>IF(AND(I12&lt;&gt;"",CORE!$D$44&lt;&gt;""),I12/10*CORE!$D$44/10,"")</f>
        <v/>
      </c>
      <c r="K12" s="221" t="str">
        <f t="shared" si="3"/>
        <v/>
      </c>
      <c r="L12" s="56" t="str">
        <f>IF(K12="","",K12*Company_SMI!$D$26)</f>
        <v/>
      </c>
      <c r="M12" s="207"/>
      <c r="N12" s="212" t="str">
        <f t="shared" si="2"/>
        <v/>
      </c>
      <c r="O12" s="218" t="str">
        <f t="shared" si="4"/>
        <v/>
      </c>
      <c r="P12" s="205"/>
      <c r="Q12" s="205"/>
    </row>
    <row r="13" spans="1:17" ht="15" customHeight="1" x14ac:dyDescent="0.25">
      <c r="A13" s="193" t="s">
        <v>622</v>
      </c>
      <c r="B13" s="57"/>
      <c r="C13" s="57"/>
      <c r="D13" s="62"/>
      <c r="E13" s="60"/>
      <c r="F13" s="184" t="str">
        <f t="shared" si="0"/>
        <v/>
      </c>
      <c r="G13" s="185" t="str">
        <f t="shared" si="1"/>
        <v/>
      </c>
      <c r="H13" s="57"/>
      <c r="I13" s="57"/>
      <c r="J13" s="186" t="str">
        <f>IF(AND(I13&lt;&gt;"",CORE!$D$44&lt;&gt;""),I13/10*CORE!$D$44/10,"")</f>
        <v/>
      </c>
      <c r="K13" s="186" t="str">
        <f t="shared" si="3"/>
        <v/>
      </c>
      <c r="L13" s="56" t="str">
        <f>IF(K13="","",K13*Company_SMI!$D$26)</f>
        <v/>
      </c>
      <c r="M13" s="60"/>
      <c r="N13" s="216" t="str">
        <f t="shared" si="2"/>
        <v/>
      </c>
      <c r="O13" s="193" t="str">
        <f t="shared" si="4"/>
        <v/>
      </c>
      <c r="P13" s="57"/>
      <c r="Q13" s="57"/>
    </row>
    <row r="14" spans="1:17" ht="15" customHeight="1" x14ac:dyDescent="0.25">
      <c r="A14" s="218" t="s">
        <v>623</v>
      </c>
      <c r="B14" s="205"/>
      <c r="C14" s="205"/>
      <c r="D14" s="206"/>
      <c r="E14" s="207"/>
      <c r="F14" s="219" t="str">
        <f t="shared" si="0"/>
        <v/>
      </c>
      <c r="G14" s="220" t="str">
        <f t="shared" si="1"/>
        <v/>
      </c>
      <c r="H14" s="205"/>
      <c r="I14" s="205"/>
      <c r="J14" s="221" t="str">
        <f>IF(AND(I14&lt;&gt;"",CORE!$D$44&lt;&gt;""),I14/10*CORE!$D$44/10,"")</f>
        <v/>
      </c>
      <c r="K14" s="221" t="str">
        <f t="shared" si="3"/>
        <v/>
      </c>
      <c r="L14" s="56" t="str">
        <f>IF(K14="","",K14*Company_SMI!$D$26)</f>
        <v/>
      </c>
      <c r="M14" s="207"/>
      <c r="N14" s="212" t="str">
        <f t="shared" si="2"/>
        <v/>
      </c>
      <c r="O14" s="218" t="str">
        <f t="shared" si="4"/>
        <v/>
      </c>
      <c r="P14" s="205"/>
      <c r="Q14" s="205"/>
    </row>
    <row r="15" spans="1:17" ht="15" customHeight="1" x14ac:dyDescent="0.25">
      <c r="A15" s="193" t="s">
        <v>624</v>
      </c>
      <c r="B15" s="57"/>
      <c r="C15" s="57"/>
      <c r="D15" s="62"/>
      <c r="E15" s="60"/>
      <c r="F15" s="184" t="str">
        <f t="shared" si="0"/>
        <v/>
      </c>
      <c r="G15" s="185" t="str">
        <f t="shared" si="1"/>
        <v/>
      </c>
      <c r="H15" s="57"/>
      <c r="I15" s="57"/>
      <c r="J15" s="186" t="str">
        <f>IF(AND(I15&lt;&gt;"",CORE!$D$44&lt;&gt;""),I15/10*CORE!$D$44/10,"")</f>
        <v/>
      </c>
      <c r="K15" s="186" t="str">
        <f t="shared" si="3"/>
        <v/>
      </c>
      <c r="L15" s="56" t="str">
        <f>IF(K15="","",K15*Company_SMI!$D$26)</f>
        <v/>
      </c>
      <c r="M15" s="60"/>
      <c r="N15" s="216" t="str">
        <f t="shared" si="2"/>
        <v/>
      </c>
      <c r="O15" s="193" t="str">
        <f t="shared" si="4"/>
        <v/>
      </c>
      <c r="P15" s="57"/>
      <c r="Q15" s="57"/>
    </row>
    <row r="16" spans="1:17" ht="15" customHeight="1" x14ac:dyDescent="0.25">
      <c r="A16" s="218" t="s">
        <v>625</v>
      </c>
      <c r="B16" s="205"/>
      <c r="C16" s="205"/>
      <c r="D16" s="206"/>
      <c r="E16" s="207"/>
      <c r="F16" s="219" t="str">
        <f t="shared" si="0"/>
        <v/>
      </c>
      <c r="G16" s="220" t="str">
        <f t="shared" si="1"/>
        <v/>
      </c>
      <c r="H16" s="205"/>
      <c r="I16" s="205"/>
      <c r="J16" s="221" t="str">
        <f>IF(AND(I16&lt;&gt;"",CORE!$D$44&lt;&gt;""),I16/10*CORE!$D$44/10,"")</f>
        <v/>
      </c>
      <c r="K16" s="221" t="str">
        <f t="shared" si="3"/>
        <v/>
      </c>
      <c r="L16" s="56" t="str">
        <f>IF(K16="","",K16*Company_SMI!$D$26)</f>
        <v/>
      </c>
      <c r="M16" s="207"/>
      <c r="N16" s="212" t="str">
        <f t="shared" si="2"/>
        <v/>
      </c>
      <c r="O16" s="218" t="str">
        <f t="shared" si="4"/>
        <v/>
      </c>
      <c r="P16" s="205"/>
      <c r="Q16" s="205"/>
    </row>
    <row r="17" spans="1:17" ht="15" customHeight="1" x14ac:dyDescent="0.25">
      <c r="A17" s="193" t="s">
        <v>626</v>
      </c>
      <c r="B17" s="57"/>
      <c r="C17" s="57"/>
      <c r="D17" s="62"/>
      <c r="E17" s="60"/>
      <c r="F17" s="184" t="str">
        <f t="shared" si="0"/>
        <v/>
      </c>
      <c r="G17" s="185" t="str">
        <f t="shared" si="1"/>
        <v/>
      </c>
      <c r="H17" s="57"/>
      <c r="I17" s="57"/>
      <c r="J17" s="186" t="str">
        <f>IF(AND(I17&lt;&gt;"",CORE!$D$44&lt;&gt;""),I17/10*CORE!$D$44/10,"")</f>
        <v/>
      </c>
      <c r="K17" s="186" t="str">
        <f t="shared" si="3"/>
        <v/>
      </c>
      <c r="L17" s="56" t="str">
        <f>IF(K17="","",K17*Company_SMI!$D$26)</f>
        <v/>
      </c>
      <c r="M17" s="60"/>
      <c r="N17" s="216" t="str">
        <f t="shared" si="2"/>
        <v/>
      </c>
      <c r="O17" s="193" t="str">
        <f t="shared" si="4"/>
        <v/>
      </c>
      <c r="P17" s="57"/>
      <c r="Q17" s="57"/>
    </row>
    <row r="18" spans="1:17" ht="15" customHeight="1" x14ac:dyDescent="0.25">
      <c r="A18" s="218" t="s">
        <v>627</v>
      </c>
      <c r="B18" s="205"/>
      <c r="C18" s="205"/>
      <c r="D18" s="206"/>
      <c r="E18" s="207"/>
      <c r="F18" s="219" t="str">
        <f t="shared" si="0"/>
        <v/>
      </c>
      <c r="G18" s="220" t="str">
        <f t="shared" si="1"/>
        <v/>
      </c>
      <c r="H18" s="205"/>
      <c r="I18" s="205"/>
      <c r="J18" s="221" t="str">
        <f>IF(AND(I18&lt;&gt;"",CORE!$D$44&lt;&gt;""),I18/10*CORE!$D$44/10,"")</f>
        <v/>
      </c>
      <c r="K18" s="221" t="str">
        <f t="shared" si="3"/>
        <v/>
      </c>
      <c r="L18" s="56" t="str">
        <f>IF(K18="","",K18*Company_SMI!$D$26)</f>
        <v/>
      </c>
      <c r="M18" s="207"/>
      <c r="N18" s="212" t="str">
        <f t="shared" si="2"/>
        <v/>
      </c>
      <c r="O18" s="218" t="str">
        <f t="shared" si="4"/>
        <v/>
      </c>
      <c r="P18" s="205"/>
      <c r="Q18" s="205"/>
    </row>
    <row r="19" spans="1:17" ht="15" customHeight="1" x14ac:dyDescent="0.25">
      <c r="A19" s="193" t="s">
        <v>628</v>
      </c>
      <c r="B19" s="57"/>
      <c r="C19" s="57"/>
      <c r="D19" s="62"/>
      <c r="E19" s="60"/>
      <c r="F19" s="184" t="str">
        <f t="shared" si="0"/>
        <v/>
      </c>
      <c r="G19" s="185" t="str">
        <f t="shared" si="1"/>
        <v/>
      </c>
      <c r="H19" s="57"/>
      <c r="I19" s="57"/>
      <c r="J19" s="186" t="str">
        <f>IF(AND(I19&lt;&gt;"",CORE!$D$44&lt;&gt;""),I19/10*CORE!$D$44/10,"")</f>
        <v/>
      </c>
      <c r="K19" s="186" t="str">
        <f t="shared" si="3"/>
        <v/>
      </c>
      <c r="L19" s="56" t="str">
        <f>IF(K19="","",K19*Company_SMI!$D$26)</f>
        <v/>
      </c>
      <c r="M19" s="60"/>
      <c r="N19" s="216" t="str">
        <f t="shared" si="2"/>
        <v/>
      </c>
      <c r="O19" s="193" t="str">
        <f t="shared" si="4"/>
        <v/>
      </c>
      <c r="P19" s="57"/>
      <c r="Q19" s="57"/>
    </row>
    <row r="20" spans="1:17" ht="15" customHeight="1" x14ac:dyDescent="0.25">
      <c r="A20" s="218" t="s">
        <v>629</v>
      </c>
      <c r="B20" s="205"/>
      <c r="C20" s="205"/>
      <c r="D20" s="206"/>
      <c r="E20" s="207"/>
      <c r="F20" s="219" t="str">
        <f t="shared" si="0"/>
        <v/>
      </c>
      <c r="G20" s="220" t="str">
        <f t="shared" si="1"/>
        <v/>
      </c>
      <c r="H20" s="205"/>
      <c r="I20" s="205"/>
      <c r="J20" s="221" t="str">
        <f>IF(AND(I20&lt;&gt;"",CORE!$D$44&lt;&gt;""),I20/10*CORE!$D$44/10,"")</f>
        <v/>
      </c>
      <c r="K20" s="221" t="str">
        <f t="shared" si="3"/>
        <v/>
      </c>
      <c r="L20" s="56" t="str">
        <f>IF(K20="","",K20*Company_SMI!$D$26)</f>
        <v/>
      </c>
      <c r="M20" s="207"/>
      <c r="N20" s="212" t="str">
        <f t="shared" si="2"/>
        <v/>
      </c>
      <c r="O20" s="218" t="str">
        <f t="shared" si="4"/>
        <v/>
      </c>
      <c r="P20" s="205"/>
      <c r="Q20" s="205"/>
    </row>
    <row r="21" spans="1:17" ht="15" customHeight="1" x14ac:dyDescent="0.25">
      <c r="A21" s="193" t="s">
        <v>630</v>
      </c>
      <c r="F21" s="184" t="str">
        <f t="shared" si="0"/>
        <v/>
      </c>
      <c r="G21" s="185" t="str">
        <f t="shared" si="1"/>
        <v/>
      </c>
      <c r="J21" s="186" t="str">
        <f>IF(AND(I21&lt;&gt;"",CORE!$D$44&lt;&gt;""),I21/10*CORE!$D$44/10,"")</f>
        <v/>
      </c>
      <c r="K21" s="186" t="str">
        <f t="shared" si="3"/>
        <v/>
      </c>
      <c r="L21" s="56" t="str">
        <f>IF(K21="","",K21*Company_SMI!$D$26)</f>
        <v/>
      </c>
      <c r="O21" s="193" t="str">
        <f t="shared" si="4"/>
        <v/>
      </c>
    </row>
    <row r="22" spans="1:17" ht="15" customHeight="1" x14ac:dyDescent="0.25">
      <c r="A22" s="193" t="s">
        <v>631</v>
      </c>
      <c r="F22" s="184" t="str">
        <f t="shared" si="0"/>
        <v/>
      </c>
      <c r="G22" s="185" t="str">
        <f t="shared" si="1"/>
        <v/>
      </c>
      <c r="J22" s="186" t="str">
        <f>IF(AND(I22&lt;&gt;"",CORE!$D$44&lt;&gt;""),I22/10*CORE!$D$44/10,"")</f>
        <v/>
      </c>
      <c r="K22" s="186" t="str">
        <f t="shared" si="3"/>
        <v/>
      </c>
      <c r="L22" s="56" t="str">
        <f>IF(K22="","",K22*Company_SMI!$D$26)</f>
        <v/>
      </c>
      <c r="O22" s="193" t="str">
        <f t="shared" si="4"/>
        <v/>
      </c>
    </row>
    <row r="23" spans="1:17" ht="15" customHeight="1" x14ac:dyDescent="0.25">
      <c r="A23" s="193" t="s">
        <v>632</v>
      </c>
      <c r="F23" s="184" t="str">
        <f t="shared" si="0"/>
        <v/>
      </c>
      <c r="G23" s="185" t="str">
        <f t="shared" si="1"/>
        <v/>
      </c>
      <c r="J23" s="186" t="str">
        <f>IF(AND(I23&lt;&gt;"",CORE!$D$44&lt;&gt;""),I23/10*CORE!$D$44/10,"")</f>
        <v/>
      </c>
      <c r="K23" s="186" t="str">
        <f t="shared" si="3"/>
        <v/>
      </c>
      <c r="L23" s="56" t="str">
        <f>IF(K23="","",K23*Company_SMI!$D$26)</f>
        <v/>
      </c>
      <c r="O23" s="193" t="str">
        <f t="shared" si="4"/>
        <v/>
      </c>
    </row>
    <row r="24" spans="1:17" ht="15" customHeight="1" x14ac:dyDescent="0.25">
      <c r="A24" s="193" t="s">
        <v>633</v>
      </c>
      <c r="F24" s="184" t="str">
        <f t="shared" si="0"/>
        <v/>
      </c>
      <c r="G24" s="185" t="str">
        <f t="shared" si="1"/>
        <v/>
      </c>
      <c r="J24" s="186" t="str">
        <f>IF(AND(I24&lt;&gt;"",CORE!$D$44&lt;&gt;""),I24/10*CORE!$D$44/10,"")</f>
        <v/>
      </c>
      <c r="K24" s="186" t="str">
        <f t="shared" si="3"/>
        <v/>
      </c>
      <c r="L24" s="56" t="str">
        <f>IF(K24="","",K24*Company_SMI!$D$26)</f>
        <v/>
      </c>
      <c r="O24" s="193" t="str">
        <f t="shared" si="4"/>
        <v/>
      </c>
    </row>
    <row r="25" spans="1:17" ht="15" customHeight="1" x14ac:dyDescent="0.25">
      <c r="A25" s="193" t="s">
        <v>634</v>
      </c>
      <c r="F25" s="184" t="str">
        <f t="shared" si="0"/>
        <v/>
      </c>
      <c r="G25" s="185" t="str">
        <f t="shared" si="1"/>
        <v/>
      </c>
      <c r="J25" s="186" t="str">
        <f>IF(AND(I25&lt;&gt;"",CORE!$D$44&lt;&gt;""),I25/10*CORE!$D$44/10,"")</f>
        <v/>
      </c>
      <c r="K25" s="186" t="str">
        <f t="shared" si="3"/>
        <v/>
      </c>
      <c r="L25" s="56" t="str">
        <f>IF(K25="","",K25*Company_SMI!$D$26)</f>
        <v/>
      </c>
      <c r="O25" s="193" t="str">
        <f t="shared" si="4"/>
        <v/>
      </c>
    </row>
    <row r="26" spans="1:17" ht="15" customHeight="1" x14ac:dyDescent="0.25">
      <c r="A26" s="193" t="s">
        <v>635</v>
      </c>
      <c r="F26" s="184" t="str">
        <f t="shared" si="0"/>
        <v/>
      </c>
      <c r="G26" s="185" t="str">
        <f t="shared" si="1"/>
        <v/>
      </c>
      <c r="J26" s="186" t="str">
        <f>IF(AND(I26&lt;&gt;"",CORE!$D$44&lt;&gt;""),I26/10*CORE!$D$44/10,"")</f>
        <v/>
      </c>
      <c r="K26" s="186" t="str">
        <f t="shared" si="3"/>
        <v/>
      </c>
      <c r="L26" s="56" t="str">
        <f>IF(K26="","",K26*Company_SMI!$D$26)</f>
        <v/>
      </c>
      <c r="O26" s="193" t="str">
        <f t="shared" si="4"/>
        <v/>
      </c>
    </row>
    <row r="27" spans="1:17" ht="15" customHeight="1" x14ac:dyDescent="0.25">
      <c r="A27" s="193" t="s">
        <v>636</v>
      </c>
      <c r="F27" s="184" t="str">
        <f t="shared" si="0"/>
        <v/>
      </c>
      <c r="G27" s="185" t="str">
        <f t="shared" si="1"/>
        <v/>
      </c>
      <c r="J27" s="186" t="str">
        <f>IF(AND(I27&lt;&gt;"",CORE!$D$44&lt;&gt;""),I27/10*CORE!$D$44/10,"")</f>
        <v/>
      </c>
      <c r="K27" s="186" t="str">
        <f t="shared" si="3"/>
        <v/>
      </c>
      <c r="L27" s="56" t="str">
        <f>IF(K27="","",K27*Company_SMI!$D$26)</f>
        <v/>
      </c>
      <c r="O27" s="193" t="str">
        <f t="shared" si="4"/>
        <v/>
      </c>
    </row>
    <row r="28" spans="1:17" ht="15" customHeight="1" x14ac:dyDescent="0.25">
      <c r="A28" s="193" t="s">
        <v>637</v>
      </c>
      <c r="F28" s="184" t="str">
        <f t="shared" si="0"/>
        <v/>
      </c>
      <c r="G28" s="185" t="str">
        <f t="shared" si="1"/>
        <v/>
      </c>
      <c r="J28" s="186" t="str">
        <f>IF(AND(I28&lt;&gt;"",CORE!$D$44&lt;&gt;""),I28/10*CORE!$D$44/10,"")</f>
        <v/>
      </c>
      <c r="K28" s="186" t="str">
        <f t="shared" si="3"/>
        <v/>
      </c>
      <c r="L28" s="56" t="str">
        <f>IF(K28="","",K28*Company_SMI!$D$26)</f>
        <v/>
      </c>
      <c r="O28" s="193" t="str">
        <f t="shared" si="4"/>
        <v/>
      </c>
    </row>
    <row r="29" spans="1:17" ht="15" customHeight="1" x14ac:dyDescent="0.25">
      <c r="A29" s="193" t="s">
        <v>638</v>
      </c>
      <c r="F29" s="184" t="str">
        <f t="shared" si="0"/>
        <v/>
      </c>
      <c r="G29" s="185" t="str">
        <f t="shared" si="1"/>
        <v/>
      </c>
      <c r="J29" s="186" t="str">
        <f>IF(AND(I29&lt;&gt;"",CORE!$D$44&lt;&gt;""),I29/10*CORE!$D$44/10,"")</f>
        <v/>
      </c>
      <c r="K29" s="186" t="str">
        <f t="shared" si="3"/>
        <v/>
      </c>
      <c r="L29" s="56" t="str">
        <f>IF(K29="","",K29*Company_SMI!$D$26)</f>
        <v/>
      </c>
      <c r="O29" s="193" t="str">
        <f t="shared" si="4"/>
        <v/>
      </c>
    </row>
    <row r="30" spans="1:17" ht="15" customHeight="1" x14ac:dyDescent="0.25">
      <c r="A30" s="193" t="s">
        <v>639</v>
      </c>
      <c r="F30" s="184" t="str">
        <f t="shared" si="0"/>
        <v/>
      </c>
      <c r="G30" s="185" t="str">
        <f t="shared" si="1"/>
        <v/>
      </c>
      <c r="J30" s="186" t="str">
        <f>IF(AND(I30&lt;&gt;"",CORE!$D$44&lt;&gt;""),I30/10*CORE!$D$44/10,"")</f>
        <v/>
      </c>
      <c r="K30" s="186" t="str">
        <f t="shared" si="3"/>
        <v/>
      </c>
      <c r="L30" s="56" t="str">
        <f>IF(K30="","",K30*Company_SMI!$D$26)</f>
        <v/>
      </c>
      <c r="O30" s="193" t="str">
        <f t="shared" si="4"/>
        <v/>
      </c>
    </row>
    <row r="31" spans="1:17" ht="15" customHeight="1" x14ac:dyDescent="0.25">
      <c r="A31" s="193" t="s">
        <v>640</v>
      </c>
      <c r="F31" s="184" t="str">
        <f t="shared" si="0"/>
        <v/>
      </c>
      <c r="G31" s="185" t="str">
        <f t="shared" si="1"/>
        <v/>
      </c>
      <c r="J31" s="186" t="str">
        <f>IF(AND(I31&lt;&gt;"",CORE!$D$44&lt;&gt;""),I31/10*CORE!$D$44/10,"")</f>
        <v/>
      </c>
      <c r="K31" s="186" t="str">
        <f t="shared" si="3"/>
        <v/>
      </c>
      <c r="L31" s="56" t="str">
        <f>IF(K31="","",K31*Company_SMI!$D$26)</f>
        <v/>
      </c>
      <c r="O31" s="193" t="str">
        <f t="shared" si="4"/>
        <v/>
      </c>
    </row>
    <row r="32" spans="1:17" ht="15" customHeight="1" x14ac:dyDescent="0.25">
      <c r="A32" s="193" t="s">
        <v>641</v>
      </c>
      <c r="F32" s="184" t="str">
        <f t="shared" si="0"/>
        <v/>
      </c>
      <c r="G32" s="185" t="str">
        <f t="shared" si="1"/>
        <v/>
      </c>
      <c r="J32" s="186" t="str">
        <f>IF(AND(I32&lt;&gt;"",CORE!$D$44&lt;&gt;""),I32/10*CORE!$D$44/10,"")</f>
        <v/>
      </c>
      <c r="K32" s="186" t="str">
        <f t="shared" si="3"/>
        <v/>
      </c>
      <c r="L32" s="56" t="str">
        <f>IF(K32="","",K32*Company_SMI!$D$26)</f>
        <v/>
      </c>
      <c r="O32" s="193" t="str">
        <f t="shared" si="4"/>
        <v/>
      </c>
    </row>
    <row r="33" spans="1:15" ht="15" customHeight="1" x14ac:dyDescent="0.25">
      <c r="A33" s="193" t="s">
        <v>642</v>
      </c>
      <c r="F33" s="184" t="str">
        <f t="shared" si="0"/>
        <v/>
      </c>
      <c r="G33" s="185" t="str">
        <f t="shared" si="1"/>
        <v/>
      </c>
      <c r="J33" s="186" t="str">
        <f>IF(AND(I33&lt;&gt;"",CORE!$D$44&lt;&gt;""),I33/10*CORE!$D$44/10,"")</f>
        <v/>
      </c>
      <c r="K33" s="186" t="str">
        <f t="shared" si="3"/>
        <v/>
      </c>
      <c r="L33" s="56" t="str">
        <f>IF(K33="","",K33*Company_SMI!$D$26)</f>
        <v/>
      </c>
      <c r="O33" s="193" t="str">
        <f t="shared" si="4"/>
        <v/>
      </c>
    </row>
    <row r="34" spans="1:15" ht="15" customHeight="1" x14ac:dyDescent="0.25">
      <c r="A34" s="193" t="s">
        <v>643</v>
      </c>
      <c r="F34" s="184" t="str">
        <f t="shared" si="0"/>
        <v/>
      </c>
      <c r="G34" s="185" t="str">
        <f t="shared" si="1"/>
        <v/>
      </c>
      <c r="J34" s="186" t="str">
        <f>IF(AND(I34&lt;&gt;"",CORE!$D$44&lt;&gt;""),I34/10*CORE!$D$44/10,"")</f>
        <v/>
      </c>
      <c r="K34" s="186" t="str">
        <f t="shared" si="3"/>
        <v/>
      </c>
      <c r="L34" s="56" t="str">
        <f>IF(K34="","",K34*Company_SMI!$D$26)</f>
        <v/>
      </c>
      <c r="O34" s="193" t="str">
        <f t="shared" si="4"/>
        <v/>
      </c>
    </row>
    <row r="35" spans="1:15" ht="15" customHeight="1" x14ac:dyDescent="0.25">
      <c r="A35" s="193" t="s">
        <v>644</v>
      </c>
      <c r="F35" s="184" t="str">
        <f t="shared" si="0"/>
        <v/>
      </c>
      <c r="G35" s="185" t="str">
        <f t="shared" si="1"/>
        <v/>
      </c>
      <c r="J35" s="186" t="str">
        <f>IF(AND(I35&lt;&gt;"",CORE!$D$44&lt;&gt;""),I35/10*CORE!$D$44/10,"")</f>
        <v/>
      </c>
      <c r="K35" s="186" t="str">
        <f t="shared" si="3"/>
        <v/>
      </c>
      <c r="L35" s="56" t="str">
        <f>IF(K35="","",K35*Company_SMI!$D$26)</f>
        <v/>
      </c>
      <c r="O35" s="193" t="str">
        <f t="shared" si="4"/>
        <v/>
      </c>
    </row>
    <row r="36" spans="1:15" ht="15" customHeight="1" x14ac:dyDescent="0.25">
      <c r="A36" s="193" t="s">
        <v>645</v>
      </c>
      <c r="F36" s="184" t="str">
        <f t="shared" si="0"/>
        <v/>
      </c>
      <c r="G36" s="185" t="str">
        <f t="shared" si="1"/>
        <v/>
      </c>
      <c r="J36" s="186" t="str">
        <f>IF(AND(I36&lt;&gt;"",CORE!$D$44&lt;&gt;""),I36/10*CORE!$D$44/10,"")</f>
        <v/>
      </c>
      <c r="K36" s="186" t="str">
        <f t="shared" si="3"/>
        <v/>
      </c>
      <c r="L36" s="56" t="str">
        <f>IF(K36="","",K36*Company_SMI!$D$26)</f>
        <v/>
      </c>
      <c r="O36" s="193" t="str">
        <f t="shared" si="4"/>
        <v/>
      </c>
    </row>
  </sheetData>
  <mergeCells count="2">
    <mergeCell ref="A1:Q1"/>
    <mergeCell ref="A2:Q2"/>
  </mergeCells>
  <dataValidations count="1">
    <dataValidation type="list" allowBlank="1" sqref="C6:C36" xr:uid="{00000000-0002-0000-0B00-000000000000}">
      <formula1>"OPS,TECH,REG,STR,FIN,ESG,GEO,REP"</formula1>
      <formula2>0</formula2>
    </dataValidation>
  </dataValidation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CA61"/>
  <sheetViews>
    <sheetView zoomScaleNormal="100" workbookViewId="0">
      <selection activeCell="D8" sqref="D8"/>
    </sheetView>
  </sheetViews>
  <sheetFormatPr defaultColWidth="8.7109375" defaultRowHeight="15" x14ac:dyDescent="0.25"/>
  <cols>
    <col min="1" max="1" width="1.5703125" customWidth="1"/>
    <col min="3" max="3" width="13.28515625" customWidth="1"/>
    <col min="4" max="4" width="36.7109375" customWidth="1"/>
    <col min="5" max="5" width="9.28515625" customWidth="1"/>
    <col min="6" max="7" width="5.7109375" customWidth="1"/>
    <col min="8" max="8" width="9.140625" customWidth="1"/>
    <col min="12" max="12" width="8.42578125" customWidth="1"/>
    <col min="13" max="14" width="5.7109375" customWidth="1"/>
    <col min="15" max="15" width="9.140625" customWidth="1"/>
    <col min="19" max="19" width="8.140625" customWidth="1"/>
    <col min="20" max="21" width="5.7109375" customWidth="1"/>
    <col min="22" max="22" width="9.140625" customWidth="1"/>
    <col min="27" max="27" width="8.140625" customWidth="1"/>
    <col min="28" max="29" width="5.7109375" customWidth="1"/>
    <col min="30" max="30" width="9.140625" customWidth="1"/>
    <col min="35" max="35" width="8.42578125" customWidth="1"/>
    <col min="36" max="37" width="5.7109375" customWidth="1"/>
    <col min="38" max="38" width="9.140625" customWidth="1"/>
    <col min="43" max="43" width="0.7109375" customWidth="1"/>
    <col min="44" max="44" width="9.140625" customWidth="1"/>
    <col min="45" max="45" width="1.5703125" customWidth="1"/>
    <col min="47" max="47" width="8" customWidth="1"/>
  </cols>
  <sheetData>
    <row r="2" spans="1:79" ht="14.25" customHeight="1" x14ac:dyDescent="0.25">
      <c r="A2" s="104"/>
      <c r="B2" s="7"/>
      <c r="C2" s="142"/>
      <c r="D2" s="8"/>
      <c r="E2" s="222"/>
      <c r="F2" s="222"/>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c r="AR2" s="222"/>
      <c r="AS2" s="9"/>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row>
    <row r="3" spans="1:79" ht="24" customHeight="1" x14ac:dyDescent="0.25">
      <c r="A3" s="104"/>
      <c r="B3" s="10"/>
      <c r="C3" s="143" t="str">
        <f>IF(SelectedBU="","",INDEX(ReportingUnits,SelectedBU,1))</f>
        <v>Company 3</v>
      </c>
      <c r="D3" s="144"/>
      <c r="E3" s="144"/>
      <c r="F3" s="144"/>
      <c r="G3" s="144"/>
      <c r="H3" s="144"/>
      <c r="I3" s="144"/>
      <c r="J3" s="144"/>
      <c r="K3" s="144"/>
      <c r="L3" s="144"/>
      <c r="M3" s="144"/>
      <c r="N3" s="144"/>
      <c r="O3" s="144"/>
      <c r="P3" s="144"/>
      <c r="Q3" s="144"/>
      <c r="R3" s="144"/>
      <c r="S3" s="144"/>
      <c r="T3" s="144"/>
      <c r="U3" s="144"/>
      <c r="V3" s="144"/>
      <c r="W3" s="144"/>
      <c r="X3" s="144"/>
      <c r="Y3" s="144"/>
      <c r="Z3" s="87" t="str">
        <f>"Top 10 Risks that could occur within the "&amp;Parameters!E17&amp;". Risk 'In Control' Sheet"</f>
        <v>Top 10 Risks that could occur within the next 3 - 5 years. Risk 'In Control' Sheet</v>
      </c>
      <c r="AA3" s="172"/>
      <c r="AB3" s="172"/>
      <c r="AC3" s="172"/>
      <c r="AD3" s="172"/>
      <c r="AE3" s="172"/>
      <c r="AF3" s="172"/>
      <c r="AG3" s="172"/>
      <c r="AH3" s="145"/>
      <c r="AI3" s="145"/>
      <c r="AJ3" s="145"/>
      <c r="AK3" s="145"/>
      <c r="AL3" s="145"/>
      <c r="AM3" s="145"/>
      <c r="AN3" s="145"/>
      <c r="AO3" s="145"/>
      <c r="AP3" s="145"/>
      <c r="AQ3" s="145"/>
      <c r="AR3" s="145"/>
      <c r="AS3" s="223"/>
      <c r="AT3" s="224"/>
      <c r="AU3" s="224"/>
      <c r="AV3" s="224"/>
      <c r="AW3" s="224"/>
      <c r="AX3" s="224"/>
      <c r="AY3" s="224"/>
      <c r="AZ3" s="224"/>
      <c r="BA3" s="224"/>
      <c r="BB3" s="224"/>
      <c r="BC3" s="224"/>
      <c r="BD3" s="224"/>
      <c r="BE3" s="104"/>
      <c r="BF3" s="104"/>
      <c r="BG3" s="104"/>
      <c r="BH3" s="104"/>
      <c r="BI3" s="104"/>
      <c r="BJ3" s="104"/>
      <c r="BK3" s="104"/>
      <c r="BL3" s="104"/>
      <c r="BM3" s="104"/>
      <c r="BN3" s="104"/>
      <c r="BO3" s="104"/>
      <c r="BP3" s="104"/>
      <c r="BQ3" s="104"/>
      <c r="BR3" s="104"/>
      <c r="BS3" s="104"/>
      <c r="BT3" s="104"/>
      <c r="BU3" s="104"/>
      <c r="BV3" s="104"/>
      <c r="BW3" s="104"/>
      <c r="BX3" s="104"/>
      <c r="BY3" s="104"/>
      <c r="BZ3" s="104"/>
      <c r="CA3" s="104"/>
    </row>
    <row r="4" spans="1:79" ht="4.5" customHeight="1" x14ac:dyDescent="0.25">
      <c r="A4" s="104"/>
      <c r="B4" s="10"/>
      <c r="C4" s="146"/>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223"/>
      <c r="AT4" s="224"/>
      <c r="AU4" s="224"/>
      <c r="AV4" s="224"/>
      <c r="AW4" s="224"/>
      <c r="AX4" s="224"/>
      <c r="AY4" s="224"/>
      <c r="AZ4" s="224"/>
      <c r="BA4" s="224"/>
      <c r="BB4" s="224"/>
      <c r="BC4" s="224"/>
      <c r="BD4" s="224"/>
      <c r="BE4" s="104"/>
      <c r="BF4" s="104"/>
      <c r="BG4" s="104"/>
      <c r="BH4" s="104"/>
      <c r="BI4" s="104"/>
      <c r="BJ4" s="104"/>
      <c r="BK4" s="104"/>
      <c r="BL4" s="104"/>
      <c r="BM4" s="104"/>
      <c r="BN4" s="104"/>
      <c r="BO4" s="104"/>
      <c r="BP4" s="104"/>
      <c r="BQ4" s="104"/>
      <c r="BR4" s="104"/>
      <c r="BS4" s="104"/>
      <c r="BT4" s="104"/>
      <c r="BU4" s="104"/>
      <c r="BV4" s="104"/>
      <c r="BW4" s="104"/>
      <c r="BX4" s="104"/>
      <c r="BY4" s="104"/>
      <c r="BZ4" s="104"/>
      <c r="CA4" s="104"/>
    </row>
    <row r="5" spans="1:79" ht="4.5" customHeight="1" x14ac:dyDescent="0.25">
      <c r="A5" s="104"/>
      <c r="B5" s="10"/>
      <c r="C5" s="148"/>
      <c r="D5" s="11"/>
      <c r="AS5" s="13"/>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row>
    <row r="6" spans="1:79" ht="15" customHeight="1" x14ac:dyDescent="0.25">
      <c r="A6" s="225"/>
      <c r="B6" s="226"/>
      <c r="C6" s="426" t="s">
        <v>480</v>
      </c>
      <c r="D6" s="426" t="s">
        <v>468</v>
      </c>
      <c r="E6" s="424" t="s">
        <v>646</v>
      </c>
      <c r="F6" s="424"/>
      <c r="G6" s="424"/>
      <c r="H6" s="424"/>
      <c r="I6" s="424"/>
      <c r="J6" s="424"/>
      <c r="K6" s="424"/>
      <c r="L6" s="424" t="s">
        <v>647</v>
      </c>
      <c r="M6" s="424"/>
      <c r="N6" s="424"/>
      <c r="O6" s="424"/>
      <c r="P6" s="424"/>
      <c r="Q6" s="424"/>
      <c r="R6" s="424"/>
      <c r="S6" s="424" t="s">
        <v>471</v>
      </c>
      <c r="T6" s="424"/>
      <c r="U6" s="424"/>
      <c r="V6" s="424"/>
      <c r="W6" s="424"/>
      <c r="X6" s="424"/>
      <c r="Y6" s="424"/>
      <c r="Z6" s="424"/>
      <c r="AA6" s="424" t="s">
        <v>648</v>
      </c>
      <c r="AB6" s="424"/>
      <c r="AC6" s="424"/>
      <c r="AD6" s="424"/>
      <c r="AE6" s="424"/>
      <c r="AF6" s="424"/>
      <c r="AG6" s="424"/>
      <c r="AH6" s="424"/>
      <c r="AI6" s="424" t="s">
        <v>649</v>
      </c>
      <c r="AJ6" s="424"/>
      <c r="AK6" s="424"/>
      <c r="AL6" s="424"/>
      <c r="AM6" s="424"/>
      <c r="AN6" s="424"/>
      <c r="AO6" s="424"/>
      <c r="AP6" s="424"/>
      <c r="AR6" s="425" t="s">
        <v>650</v>
      </c>
      <c r="AS6" s="227"/>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row>
    <row r="7" spans="1:79" ht="114.75" customHeight="1" x14ac:dyDescent="0.25">
      <c r="A7" s="228"/>
      <c r="B7" s="229"/>
      <c r="C7" s="426"/>
      <c r="D7" s="426"/>
      <c r="E7" s="230"/>
      <c r="F7" s="231" t="s">
        <v>651</v>
      </c>
      <c r="G7" s="232"/>
      <c r="H7" s="233" t="s">
        <v>652</v>
      </c>
      <c r="I7" s="233" t="s">
        <v>653</v>
      </c>
      <c r="J7" s="234" t="s">
        <v>654</v>
      </c>
      <c r="K7" s="235" t="s">
        <v>655</v>
      </c>
      <c r="L7" s="236"/>
      <c r="M7" s="237" t="s">
        <v>651</v>
      </c>
      <c r="N7" s="238"/>
      <c r="O7" s="233" t="s">
        <v>656</v>
      </c>
      <c r="P7" s="233" t="s">
        <v>657</v>
      </c>
      <c r="Q7" s="234" t="s">
        <v>658</v>
      </c>
      <c r="R7" s="239" t="s">
        <v>659</v>
      </c>
      <c r="S7" s="236"/>
      <c r="T7" s="237" t="s">
        <v>651</v>
      </c>
      <c r="U7" s="238"/>
      <c r="V7" s="233" t="s">
        <v>660</v>
      </c>
      <c r="W7" s="233" t="s">
        <v>661</v>
      </c>
      <c r="X7" s="234" t="s">
        <v>662</v>
      </c>
      <c r="Y7" s="234" t="s">
        <v>663</v>
      </c>
      <c r="Z7" s="235" t="s">
        <v>664</v>
      </c>
      <c r="AA7" s="236"/>
      <c r="AB7" s="237" t="s">
        <v>651</v>
      </c>
      <c r="AC7" s="238"/>
      <c r="AD7" s="234" t="s">
        <v>665</v>
      </c>
      <c r="AE7" s="234" t="s">
        <v>666</v>
      </c>
      <c r="AF7" s="234" t="s">
        <v>667</v>
      </c>
      <c r="AG7" s="234" t="s">
        <v>668</v>
      </c>
      <c r="AH7" s="239" t="s">
        <v>669</v>
      </c>
      <c r="AI7" s="236"/>
      <c r="AJ7" s="237" t="s">
        <v>651</v>
      </c>
      <c r="AK7" s="238"/>
      <c r="AL7" s="234" t="s">
        <v>670</v>
      </c>
      <c r="AM7" s="234" t="s">
        <v>671</v>
      </c>
      <c r="AN7" s="234" t="s">
        <v>672</v>
      </c>
      <c r="AO7" s="234" t="s">
        <v>673</v>
      </c>
      <c r="AP7" s="239" t="s">
        <v>674</v>
      </c>
      <c r="AR7" s="425"/>
      <c r="AS7" s="240"/>
      <c r="AT7" s="228"/>
      <c r="AU7" s="228"/>
      <c r="AV7" s="228"/>
      <c r="AW7" s="228"/>
      <c r="AX7" s="228"/>
      <c r="AY7" s="228"/>
      <c r="AZ7" s="228"/>
      <c r="BA7" s="228"/>
      <c r="BB7" s="228"/>
      <c r="BC7" s="228"/>
      <c r="BD7" s="228"/>
      <c r="BE7" s="228"/>
      <c r="BF7" s="228"/>
      <c r="BG7" s="228"/>
      <c r="BH7" s="228"/>
      <c r="BI7" s="228"/>
      <c r="BJ7" s="228"/>
      <c r="BK7" s="228"/>
      <c r="BL7" s="228"/>
      <c r="BM7" s="228"/>
      <c r="BN7" s="228"/>
      <c r="BO7" s="228"/>
      <c r="BP7" s="228"/>
      <c r="BQ7" s="228"/>
      <c r="BR7" s="228"/>
      <c r="BS7" s="228"/>
      <c r="BT7" s="228"/>
      <c r="BU7" s="228"/>
      <c r="BV7" s="228"/>
      <c r="BW7" s="228"/>
      <c r="BX7" s="228"/>
      <c r="BY7" s="228"/>
      <c r="BZ7" s="228"/>
      <c r="CA7" s="228"/>
    </row>
    <row r="8" spans="1:79" ht="33.75" customHeight="1" x14ac:dyDescent="0.25">
      <c r="A8" s="241"/>
      <c r="B8" s="152"/>
      <c r="C8" s="153" t="str">
        <f ca="1">RiskList!A2</f>
        <v>Company 101</v>
      </c>
      <c r="D8" s="242" t="str">
        <f ca="1">RiskList!B2</f>
        <v/>
      </c>
      <c r="E8" t="b">
        <f t="shared" ref="E8:E39" si="0">IF(F8&lt;1,FALSE(),COUNTIF(H8:K8,1))</f>
        <v>0</v>
      </c>
      <c r="F8" s="243"/>
      <c r="G8" s="244"/>
      <c r="H8" s="243"/>
      <c r="I8" s="245"/>
      <c r="J8" s="245"/>
      <c r="K8" s="246"/>
      <c r="L8" s="247" t="b">
        <f t="shared" ref="L8:L39" si="1">IF(M8&lt;1,FALSE(),MAX(O8*1,P8*2,Q8*3,R8*4))</f>
        <v>0</v>
      </c>
      <c r="M8" s="243"/>
      <c r="N8" s="247"/>
      <c r="O8" s="243"/>
      <c r="P8" s="245"/>
      <c r="Q8" s="245"/>
      <c r="R8" s="246"/>
      <c r="S8" s="247" t="b">
        <f t="shared" ref="S8:S39" si="2">IF(T8&lt;1,FALSE(),MAX(V8*1,W8*2,X8*3,Y8*4,Z8*5))</f>
        <v>0</v>
      </c>
      <c r="T8" s="243"/>
      <c r="U8" s="247"/>
      <c r="V8" s="243"/>
      <c r="W8" s="245"/>
      <c r="X8" s="245"/>
      <c r="Y8" s="245"/>
      <c r="Z8" s="246"/>
      <c r="AA8" s="247" t="b">
        <f t="shared" ref="AA8:AA39" si="3">IF(AB8&lt;1,FALSE(),MAX(AD8*1,AE8*2,AF8*3,AG8*4,AH8*5))</f>
        <v>0</v>
      </c>
      <c r="AB8" s="243"/>
      <c r="AC8" s="247"/>
      <c r="AD8" s="243"/>
      <c r="AE8" s="245"/>
      <c r="AF8" s="245"/>
      <c r="AG8" s="245"/>
      <c r="AH8" s="246"/>
      <c r="AI8" s="247" t="b">
        <f t="shared" ref="AI8:AI39" si="4">IF(AJ8&lt;1,FALSE(),COUNTIF(AL8:AP8,1))</f>
        <v>0</v>
      </c>
      <c r="AJ8" s="243"/>
      <c r="AK8" s="247"/>
      <c r="AL8" s="243"/>
      <c r="AM8" s="245"/>
      <c r="AN8" s="245"/>
      <c r="AO8" s="245"/>
      <c r="AP8" s="246"/>
      <c r="AR8" s="248"/>
      <c r="AS8" s="162"/>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row>
    <row r="9" spans="1:79" ht="33.75" customHeight="1" x14ac:dyDescent="0.25">
      <c r="A9" s="241"/>
      <c r="B9" s="152"/>
      <c r="C9" s="153" t="str">
        <f ca="1">RiskList!A3</f>
        <v>Company 102</v>
      </c>
      <c r="D9" s="242" t="str">
        <f ca="1">RiskList!B3</f>
        <v/>
      </c>
      <c r="E9" t="b">
        <f t="shared" si="0"/>
        <v>0</v>
      </c>
      <c r="F9" s="243"/>
      <c r="G9" s="244"/>
      <c r="H9" s="243"/>
      <c r="I9" s="245"/>
      <c r="J9" s="245"/>
      <c r="K9" s="246"/>
      <c r="L9" s="247" t="b">
        <f t="shared" si="1"/>
        <v>0</v>
      </c>
      <c r="M9" s="243"/>
      <c r="N9" s="247"/>
      <c r="O9" s="243"/>
      <c r="P9" s="245"/>
      <c r="Q9" s="245"/>
      <c r="R9" s="246"/>
      <c r="S9" s="247" t="b">
        <f t="shared" si="2"/>
        <v>0</v>
      </c>
      <c r="T9" s="243"/>
      <c r="U9" s="247"/>
      <c r="V9" s="243"/>
      <c r="W9" s="245"/>
      <c r="X9" s="245"/>
      <c r="Y9" s="245"/>
      <c r="Z9" s="246"/>
      <c r="AA9" s="247" t="b">
        <f t="shared" si="3"/>
        <v>0</v>
      </c>
      <c r="AB9" s="243"/>
      <c r="AC9" s="247"/>
      <c r="AD9" s="243"/>
      <c r="AE9" s="245"/>
      <c r="AF9" s="245"/>
      <c r="AG9" s="245"/>
      <c r="AH9" s="246"/>
      <c r="AI9" s="247" t="b">
        <f t="shared" si="4"/>
        <v>0</v>
      </c>
      <c r="AJ9" s="243"/>
      <c r="AK9" s="247"/>
      <c r="AL9" s="243"/>
      <c r="AM9" s="245"/>
      <c r="AN9" s="245"/>
      <c r="AO9" s="245"/>
      <c r="AP9" s="246"/>
      <c r="AR9" s="248"/>
      <c r="AS9" s="162"/>
      <c r="AT9" s="241"/>
      <c r="AU9" s="241"/>
      <c r="AV9" s="241"/>
      <c r="AW9" s="241"/>
      <c r="AX9" s="241"/>
      <c r="AY9" s="241"/>
      <c r="AZ9" s="241"/>
      <c r="BA9" s="241"/>
      <c r="BB9" s="241"/>
      <c r="BC9" s="241"/>
      <c r="BD9" s="241"/>
      <c r="BE9" s="241"/>
      <c r="BF9" s="241"/>
      <c r="BG9" s="241"/>
      <c r="BH9" s="241"/>
      <c r="BI9" s="241"/>
      <c r="BJ9" s="241"/>
      <c r="BK9" s="241"/>
      <c r="BL9" s="241"/>
      <c r="BM9" s="241"/>
      <c r="BN9" s="241"/>
      <c r="BO9" s="241"/>
      <c r="BP9" s="241"/>
      <c r="BQ9" s="241"/>
      <c r="BR9" s="241"/>
      <c r="BS9" s="241"/>
      <c r="BT9" s="241"/>
      <c r="BU9" s="241"/>
      <c r="BV9" s="241"/>
      <c r="BW9" s="241"/>
      <c r="BX9" s="241"/>
      <c r="BY9" s="241"/>
      <c r="BZ9" s="241"/>
      <c r="CA9" s="241"/>
    </row>
    <row r="10" spans="1:79" ht="33.75" customHeight="1" x14ac:dyDescent="0.25">
      <c r="A10" s="241"/>
      <c r="B10" s="152"/>
      <c r="C10" s="153" t="str">
        <f ca="1">RiskList!A4</f>
        <v>Company 103</v>
      </c>
      <c r="D10" s="242" t="str">
        <f ca="1">RiskList!B4</f>
        <v/>
      </c>
      <c r="E10" t="b">
        <f t="shared" si="0"/>
        <v>0</v>
      </c>
      <c r="F10" s="243"/>
      <c r="G10" s="244"/>
      <c r="H10" s="243"/>
      <c r="I10" s="245"/>
      <c r="J10" s="245"/>
      <c r="K10" s="246"/>
      <c r="L10" s="247" t="b">
        <f t="shared" si="1"/>
        <v>0</v>
      </c>
      <c r="M10" s="243"/>
      <c r="N10" s="247"/>
      <c r="O10" s="243"/>
      <c r="P10" s="245"/>
      <c r="Q10" s="245"/>
      <c r="R10" s="246"/>
      <c r="S10" s="247" t="b">
        <f t="shared" si="2"/>
        <v>0</v>
      </c>
      <c r="T10" s="243"/>
      <c r="U10" s="247"/>
      <c r="V10" s="243"/>
      <c r="W10" s="245"/>
      <c r="X10" s="245"/>
      <c r="Y10" s="245"/>
      <c r="Z10" s="246"/>
      <c r="AA10" s="247" t="b">
        <f t="shared" si="3"/>
        <v>0</v>
      </c>
      <c r="AB10" s="243"/>
      <c r="AC10" s="247"/>
      <c r="AD10" s="243"/>
      <c r="AE10" s="245"/>
      <c r="AF10" s="245"/>
      <c r="AG10" s="245"/>
      <c r="AH10" s="246"/>
      <c r="AI10" s="247" t="b">
        <f t="shared" si="4"/>
        <v>0</v>
      </c>
      <c r="AJ10" s="243"/>
      <c r="AK10" s="247"/>
      <c r="AL10" s="243"/>
      <c r="AM10" s="245"/>
      <c r="AN10" s="245"/>
      <c r="AO10" s="245"/>
      <c r="AP10" s="246"/>
      <c r="AR10" s="248"/>
      <c r="AS10" s="162"/>
      <c r="AT10" s="241"/>
      <c r="AU10" s="241"/>
      <c r="AV10" s="241"/>
      <c r="AW10" s="241"/>
      <c r="AX10" s="241"/>
      <c r="AY10" s="241"/>
      <c r="AZ10" s="241"/>
      <c r="BA10" s="241"/>
      <c r="BB10" s="241"/>
      <c r="BC10" s="241"/>
      <c r="BD10" s="241"/>
      <c r="BE10" s="241"/>
      <c r="BF10" s="241"/>
      <c r="BG10" s="241"/>
      <c r="BH10" s="241"/>
      <c r="BI10" s="241"/>
      <c r="BJ10" s="241"/>
      <c r="BK10" s="241"/>
      <c r="BL10" s="241"/>
      <c r="BM10" s="241"/>
      <c r="BN10" s="241"/>
      <c r="BO10" s="241"/>
      <c r="BP10" s="241"/>
      <c r="BQ10" s="241"/>
      <c r="BR10" s="241"/>
      <c r="BS10" s="241"/>
      <c r="BT10" s="241"/>
      <c r="BU10" s="241"/>
      <c r="BV10" s="241"/>
      <c r="BW10" s="241"/>
      <c r="BX10" s="241"/>
      <c r="BY10" s="241"/>
      <c r="BZ10" s="241"/>
      <c r="CA10" s="241"/>
    </row>
    <row r="11" spans="1:79" ht="33.75" customHeight="1" x14ac:dyDescent="0.25">
      <c r="A11" s="241"/>
      <c r="B11" s="152"/>
      <c r="C11" s="153" t="str">
        <f ca="1">RiskList!A5</f>
        <v>Company 104</v>
      </c>
      <c r="D11" s="154" t="str">
        <f ca="1">RiskList!B5</f>
        <v/>
      </c>
      <c r="E11" t="b">
        <f t="shared" si="0"/>
        <v>0</v>
      </c>
      <c r="F11" s="243"/>
      <c r="G11" s="244"/>
      <c r="H11" s="243"/>
      <c r="I11" s="245"/>
      <c r="J11" s="245"/>
      <c r="K11" s="246"/>
      <c r="L11" s="247" t="b">
        <f t="shared" si="1"/>
        <v>0</v>
      </c>
      <c r="M11" s="243"/>
      <c r="N11" s="247"/>
      <c r="O11" s="243"/>
      <c r="P11" s="245"/>
      <c r="Q11" s="245"/>
      <c r="R11" s="246"/>
      <c r="S11" s="247" t="b">
        <f t="shared" si="2"/>
        <v>0</v>
      </c>
      <c r="T11" s="243"/>
      <c r="U11" s="247"/>
      <c r="V11" s="243"/>
      <c r="W11" s="245"/>
      <c r="X11" s="245"/>
      <c r="Y11" s="245"/>
      <c r="Z11" s="246"/>
      <c r="AA11" s="247" t="b">
        <f t="shared" si="3"/>
        <v>0</v>
      </c>
      <c r="AB11" s="243"/>
      <c r="AC11" s="247"/>
      <c r="AD11" s="243"/>
      <c r="AE11" s="245"/>
      <c r="AF11" s="245"/>
      <c r="AG11" s="245"/>
      <c r="AH11" s="246"/>
      <c r="AI11" s="247" t="b">
        <f t="shared" si="4"/>
        <v>0</v>
      </c>
      <c r="AJ11" s="243"/>
      <c r="AK11" s="247"/>
      <c r="AL11" s="243"/>
      <c r="AM11" s="245"/>
      <c r="AN11" s="245"/>
      <c r="AO11" s="245"/>
      <c r="AP11" s="246"/>
      <c r="AR11" s="248"/>
      <c r="AS11" s="162"/>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1"/>
    </row>
    <row r="12" spans="1:79" ht="33.75" customHeight="1" x14ac:dyDescent="0.25">
      <c r="A12" s="241"/>
      <c r="B12" s="152"/>
      <c r="C12" s="153" t="str">
        <f ca="1">RiskList!A6</f>
        <v>Company 105</v>
      </c>
      <c r="D12" s="154" t="str">
        <f ca="1">RiskList!B6</f>
        <v/>
      </c>
      <c r="E12" t="b">
        <f t="shared" si="0"/>
        <v>0</v>
      </c>
      <c r="F12" s="243"/>
      <c r="G12" s="244"/>
      <c r="H12" s="243"/>
      <c r="I12" s="245"/>
      <c r="J12" s="245"/>
      <c r="K12" s="246"/>
      <c r="L12" s="247" t="b">
        <f t="shared" si="1"/>
        <v>0</v>
      </c>
      <c r="M12" s="243"/>
      <c r="N12" s="247"/>
      <c r="O12" s="243"/>
      <c r="P12" s="245"/>
      <c r="Q12" s="245"/>
      <c r="R12" s="246"/>
      <c r="S12" s="247" t="b">
        <f t="shared" si="2"/>
        <v>0</v>
      </c>
      <c r="T12" s="243"/>
      <c r="U12" s="247"/>
      <c r="V12" s="243"/>
      <c r="W12" s="245"/>
      <c r="X12" s="245"/>
      <c r="Y12" s="245"/>
      <c r="Z12" s="246"/>
      <c r="AA12" s="247" t="b">
        <f t="shared" si="3"/>
        <v>0</v>
      </c>
      <c r="AB12" s="243"/>
      <c r="AC12" s="247"/>
      <c r="AD12" s="243"/>
      <c r="AE12" s="245"/>
      <c r="AF12" s="245"/>
      <c r="AG12" s="245"/>
      <c r="AH12" s="246"/>
      <c r="AI12" s="247" t="b">
        <f t="shared" si="4"/>
        <v>0</v>
      </c>
      <c r="AJ12" s="243"/>
      <c r="AK12" s="247"/>
      <c r="AL12" s="243"/>
      <c r="AM12" s="245"/>
      <c r="AN12" s="245"/>
      <c r="AO12" s="245"/>
      <c r="AP12" s="246"/>
      <c r="AR12" s="248"/>
      <c r="AS12" s="162"/>
      <c r="AT12" s="241"/>
      <c r="AU12" s="241"/>
      <c r="AV12" s="241"/>
      <c r="AW12" s="241"/>
      <c r="AX12" s="241"/>
      <c r="AY12" s="241"/>
      <c r="AZ12" s="241"/>
      <c r="BA12" s="241"/>
      <c r="BB12" s="241"/>
      <c r="BC12" s="241"/>
      <c r="BD12" s="241"/>
      <c r="BE12" s="241"/>
      <c r="BF12" s="241"/>
      <c r="BG12" s="241"/>
      <c r="BH12" s="241"/>
      <c r="BI12" s="241"/>
      <c r="BJ12" s="241"/>
      <c r="BK12" s="241"/>
      <c r="BL12" s="241"/>
      <c r="BM12" s="241"/>
      <c r="BN12" s="241"/>
      <c r="BO12" s="241"/>
      <c r="BP12" s="241"/>
      <c r="BQ12" s="241"/>
      <c r="BR12" s="241"/>
      <c r="BS12" s="241"/>
      <c r="BT12" s="241"/>
      <c r="BU12" s="241"/>
      <c r="BV12" s="241"/>
      <c r="BW12" s="241"/>
      <c r="BX12" s="241"/>
      <c r="BY12" s="241"/>
      <c r="BZ12" s="241"/>
      <c r="CA12" s="241"/>
    </row>
    <row r="13" spans="1:79" ht="33.75" customHeight="1" x14ac:dyDescent="0.25">
      <c r="A13" s="241"/>
      <c r="B13" s="152"/>
      <c r="C13" s="153" t="str">
        <f ca="1">RiskList!A7</f>
        <v>Company 106</v>
      </c>
      <c r="D13" s="154" t="str">
        <f ca="1">RiskList!B7</f>
        <v/>
      </c>
      <c r="E13" t="b">
        <f t="shared" si="0"/>
        <v>0</v>
      </c>
      <c r="F13" s="243"/>
      <c r="G13" s="244"/>
      <c r="H13" s="243"/>
      <c r="I13" s="245"/>
      <c r="J13" s="245"/>
      <c r="K13" s="246"/>
      <c r="L13" s="247" t="b">
        <f t="shared" si="1"/>
        <v>0</v>
      </c>
      <c r="M13" s="243"/>
      <c r="N13" s="247"/>
      <c r="O13" s="243"/>
      <c r="P13" s="245"/>
      <c r="Q13" s="245"/>
      <c r="R13" s="246"/>
      <c r="S13" s="247" t="b">
        <f t="shared" si="2"/>
        <v>0</v>
      </c>
      <c r="T13" s="243"/>
      <c r="U13" s="247"/>
      <c r="V13" s="243"/>
      <c r="W13" s="245"/>
      <c r="X13" s="245"/>
      <c r="Y13" s="245"/>
      <c r="Z13" s="246"/>
      <c r="AA13" s="247" t="b">
        <f t="shared" si="3"/>
        <v>0</v>
      </c>
      <c r="AB13" s="243"/>
      <c r="AC13" s="247"/>
      <c r="AD13" s="243"/>
      <c r="AE13" s="245"/>
      <c r="AF13" s="245"/>
      <c r="AG13" s="245"/>
      <c r="AH13" s="246"/>
      <c r="AI13" s="247" t="b">
        <f t="shared" si="4"/>
        <v>0</v>
      </c>
      <c r="AJ13" s="243"/>
      <c r="AK13" s="247"/>
      <c r="AL13" s="243"/>
      <c r="AM13" s="245"/>
      <c r="AN13" s="245"/>
      <c r="AO13" s="245"/>
      <c r="AP13" s="246"/>
      <c r="AR13" s="248"/>
      <c r="AS13" s="162"/>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row>
    <row r="14" spans="1:79" ht="33.75" customHeight="1" x14ac:dyDescent="0.25">
      <c r="A14" s="241"/>
      <c r="B14" s="152"/>
      <c r="C14" s="153" t="str">
        <f ca="1">RiskList!A8</f>
        <v>Company 107</v>
      </c>
      <c r="D14" s="154" t="str">
        <f ca="1">RiskList!B8</f>
        <v/>
      </c>
      <c r="E14" t="b">
        <f t="shared" si="0"/>
        <v>0</v>
      </c>
      <c r="F14" s="243"/>
      <c r="G14" s="244"/>
      <c r="H14" s="243"/>
      <c r="I14" s="245"/>
      <c r="J14" s="245"/>
      <c r="K14" s="246"/>
      <c r="L14" s="247" t="b">
        <f t="shared" si="1"/>
        <v>0</v>
      </c>
      <c r="M14" s="243"/>
      <c r="N14" s="247"/>
      <c r="O14" s="243"/>
      <c r="P14" s="245"/>
      <c r="Q14" s="245"/>
      <c r="R14" s="246"/>
      <c r="S14" s="247" t="b">
        <f t="shared" si="2"/>
        <v>0</v>
      </c>
      <c r="T14" s="243"/>
      <c r="U14" s="247"/>
      <c r="V14" s="243"/>
      <c r="W14" s="245"/>
      <c r="X14" s="245"/>
      <c r="Y14" s="245"/>
      <c r="Z14" s="246"/>
      <c r="AA14" s="247" t="b">
        <f t="shared" si="3"/>
        <v>0</v>
      </c>
      <c r="AB14" s="243"/>
      <c r="AC14" s="247"/>
      <c r="AD14" s="243"/>
      <c r="AE14" s="245"/>
      <c r="AF14" s="245"/>
      <c r="AG14" s="245"/>
      <c r="AH14" s="246"/>
      <c r="AI14" s="247" t="b">
        <f t="shared" si="4"/>
        <v>0</v>
      </c>
      <c r="AJ14" s="243"/>
      <c r="AK14" s="247"/>
      <c r="AL14" s="243"/>
      <c r="AM14" s="245"/>
      <c r="AN14" s="245"/>
      <c r="AO14" s="245"/>
      <c r="AP14" s="246"/>
      <c r="AR14" s="248"/>
      <c r="AS14" s="162"/>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row>
    <row r="15" spans="1:79" ht="33.75" customHeight="1" x14ac:dyDescent="0.25">
      <c r="A15" s="241"/>
      <c r="B15" s="152"/>
      <c r="C15" s="153" t="str">
        <f ca="1">RiskList!A9</f>
        <v>Company 108</v>
      </c>
      <c r="D15" s="154" t="str">
        <f ca="1">RiskList!B9</f>
        <v/>
      </c>
      <c r="E15" t="b">
        <f t="shared" si="0"/>
        <v>0</v>
      </c>
      <c r="F15" s="243"/>
      <c r="G15" s="244"/>
      <c r="H15" s="243"/>
      <c r="I15" s="245"/>
      <c r="J15" s="245"/>
      <c r="K15" s="246"/>
      <c r="L15" s="247" t="b">
        <f t="shared" si="1"/>
        <v>0</v>
      </c>
      <c r="M15" s="243"/>
      <c r="N15" s="247"/>
      <c r="O15" s="243"/>
      <c r="P15" s="245"/>
      <c r="Q15" s="245"/>
      <c r="R15" s="246"/>
      <c r="S15" s="247" t="b">
        <f t="shared" si="2"/>
        <v>0</v>
      </c>
      <c r="T15" s="243"/>
      <c r="U15" s="247"/>
      <c r="V15" s="243"/>
      <c r="W15" s="245"/>
      <c r="X15" s="245"/>
      <c r="Y15" s="245"/>
      <c r="Z15" s="246"/>
      <c r="AA15" s="247" t="b">
        <f t="shared" si="3"/>
        <v>0</v>
      </c>
      <c r="AB15" s="243"/>
      <c r="AC15" s="247"/>
      <c r="AD15" s="243"/>
      <c r="AE15" s="245"/>
      <c r="AF15" s="245"/>
      <c r="AG15" s="245"/>
      <c r="AH15" s="246"/>
      <c r="AI15" s="247" t="b">
        <f t="shared" si="4"/>
        <v>0</v>
      </c>
      <c r="AJ15" s="243"/>
      <c r="AK15" s="247"/>
      <c r="AL15" s="243"/>
      <c r="AM15" s="245"/>
      <c r="AN15" s="245"/>
      <c r="AO15" s="245"/>
      <c r="AP15" s="246"/>
      <c r="AR15" s="248"/>
      <c r="AS15" s="162"/>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row>
    <row r="16" spans="1:79" ht="33.75" customHeight="1" x14ac:dyDescent="0.25">
      <c r="A16" s="241">
        <v>0</v>
      </c>
      <c r="B16" s="152"/>
      <c r="C16" s="153" t="str">
        <f ca="1">RiskList!A10</f>
        <v>Company 109</v>
      </c>
      <c r="D16" s="154" t="str">
        <f ca="1">RiskList!B10</f>
        <v/>
      </c>
      <c r="E16" t="b">
        <f t="shared" si="0"/>
        <v>0</v>
      </c>
      <c r="F16" s="243"/>
      <c r="G16" s="244"/>
      <c r="H16" s="243"/>
      <c r="I16" s="245"/>
      <c r="J16" s="245"/>
      <c r="K16" s="246"/>
      <c r="L16" s="247" t="b">
        <f t="shared" si="1"/>
        <v>0</v>
      </c>
      <c r="M16" s="243"/>
      <c r="N16" s="247"/>
      <c r="O16" s="243"/>
      <c r="P16" s="245"/>
      <c r="Q16" s="245"/>
      <c r="R16" s="246"/>
      <c r="S16" s="247" t="b">
        <f t="shared" si="2"/>
        <v>0</v>
      </c>
      <c r="T16" s="243"/>
      <c r="U16" s="247"/>
      <c r="V16" s="243"/>
      <c r="W16" s="245"/>
      <c r="X16" s="245"/>
      <c r="Y16" s="245"/>
      <c r="Z16" s="246"/>
      <c r="AA16" s="247" t="b">
        <f t="shared" si="3"/>
        <v>0</v>
      </c>
      <c r="AB16" s="243"/>
      <c r="AC16" s="247"/>
      <c r="AD16" s="243"/>
      <c r="AE16" s="245"/>
      <c r="AF16" s="245"/>
      <c r="AG16" s="245"/>
      <c r="AH16" s="246"/>
      <c r="AI16" s="247" t="b">
        <f t="shared" si="4"/>
        <v>0</v>
      </c>
      <c r="AJ16" s="243"/>
      <c r="AK16" s="247"/>
      <c r="AL16" s="243"/>
      <c r="AM16" s="245"/>
      <c r="AN16" s="245"/>
      <c r="AO16" s="245"/>
      <c r="AP16" s="246"/>
      <c r="AR16" s="248"/>
      <c r="AS16" s="162"/>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row>
    <row r="17" spans="2:45" ht="33.75" customHeight="1" x14ac:dyDescent="0.25">
      <c r="B17" s="152"/>
      <c r="C17" s="153" t="str">
        <f ca="1">RiskList!A11</f>
        <v>Company 110</v>
      </c>
      <c r="D17" s="154" t="str">
        <f ca="1">RiskList!B11</f>
        <v/>
      </c>
      <c r="E17" t="b">
        <f t="shared" si="0"/>
        <v>0</v>
      </c>
      <c r="F17" s="243"/>
      <c r="G17" s="244"/>
      <c r="H17" s="243"/>
      <c r="I17" s="245"/>
      <c r="J17" s="245"/>
      <c r="K17" s="246"/>
      <c r="L17" s="247" t="b">
        <f t="shared" si="1"/>
        <v>0</v>
      </c>
      <c r="M17" s="243"/>
      <c r="N17" s="247"/>
      <c r="O17" s="243"/>
      <c r="P17" s="245"/>
      <c r="Q17" s="245"/>
      <c r="R17" s="246"/>
      <c r="S17" s="247" t="b">
        <f t="shared" si="2"/>
        <v>0</v>
      </c>
      <c r="T17" s="243"/>
      <c r="U17" s="247"/>
      <c r="V17" s="243"/>
      <c r="W17" s="245"/>
      <c r="X17" s="245"/>
      <c r="Y17" s="245"/>
      <c r="Z17" s="246"/>
      <c r="AA17" s="247" t="b">
        <f t="shared" si="3"/>
        <v>0</v>
      </c>
      <c r="AB17" s="243"/>
      <c r="AC17" s="247"/>
      <c r="AD17" s="243"/>
      <c r="AE17" s="245"/>
      <c r="AF17" s="245"/>
      <c r="AG17" s="245"/>
      <c r="AH17" s="246"/>
      <c r="AI17" s="247" t="b">
        <f t="shared" si="4"/>
        <v>0</v>
      </c>
      <c r="AJ17" s="243"/>
      <c r="AK17" s="247"/>
      <c r="AL17" s="243"/>
      <c r="AM17" s="245"/>
      <c r="AN17" s="245"/>
      <c r="AO17" s="245"/>
      <c r="AP17" s="246"/>
      <c r="AR17" s="248"/>
      <c r="AS17" s="162"/>
    </row>
    <row r="18" spans="2:45" ht="33.75" customHeight="1" x14ac:dyDescent="0.25">
      <c r="B18" s="152"/>
      <c r="C18" s="153" t="str">
        <f ca="1">RiskList!A12</f>
        <v>Company 111</v>
      </c>
      <c r="D18" s="154" t="str">
        <f ca="1">RiskList!B12</f>
        <v/>
      </c>
      <c r="E18" t="b">
        <f t="shared" si="0"/>
        <v>0</v>
      </c>
      <c r="F18" s="243"/>
      <c r="G18" s="244"/>
      <c r="H18" s="243"/>
      <c r="I18" s="245"/>
      <c r="J18" s="245"/>
      <c r="K18" s="246"/>
      <c r="L18" s="247" t="b">
        <f t="shared" si="1"/>
        <v>0</v>
      </c>
      <c r="M18" s="243"/>
      <c r="N18" s="247"/>
      <c r="O18" s="243"/>
      <c r="P18" s="245"/>
      <c r="Q18" s="245"/>
      <c r="R18" s="246"/>
      <c r="S18" s="247" t="b">
        <f t="shared" si="2"/>
        <v>0</v>
      </c>
      <c r="T18" s="243"/>
      <c r="U18" s="247"/>
      <c r="V18" s="243"/>
      <c r="W18" s="245"/>
      <c r="X18" s="245"/>
      <c r="Y18" s="245"/>
      <c r="Z18" s="246"/>
      <c r="AA18" s="247" t="b">
        <f t="shared" si="3"/>
        <v>0</v>
      </c>
      <c r="AB18" s="243"/>
      <c r="AC18" s="247"/>
      <c r="AD18" s="243"/>
      <c r="AE18" s="245"/>
      <c r="AF18" s="245"/>
      <c r="AG18" s="245"/>
      <c r="AH18" s="246"/>
      <c r="AI18" s="247" t="b">
        <f t="shared" si="4"/>
        <v>0</v>
      </c>
      <c r="AJ18" s="243"/>
      <c r="AK18" s="247"/>
      <c r="AL18" s="243"/>
      <c r="AM18" s="245"/>
      <c r="AN18" s="245"/>
      <c r="AO18" s="245"/>
      <c r="AP18" s="246"/>
      <c r="AR18" s="248"/>
      <c r="AS18" s="162"/>
    </row>
    <row r="19" spans="2:45" ht="33.75" customHeight="1" x14ac:dyDescent="0.25">
      <c r="B19" s="152"/>
      <c r="C19" s="153" t="str">
        <f ca="1">RiskList!A13</f>
        <v>Company 112</v>
      </c>
      <c r="D19" s="154" t="str">
        <f ca="1">RiskList!B13</f>
        <v/>
      </c>
      <c r="E19" t="b">
        <f t="shared" si="0"/>
        <v>0</v>
      </c>
      <c r="F19" s="243"/>
      <c r="G19" s="244"/>
      <c r="H19" s="243"/>
      <c r="I19" s="245"/>
      <c r="J19" s="245"/>
      <c r="K19" s="246"/>
      <c r="L19" s="247" t="b">
        <f t="shared" si="1"/>
        <v>0</v>
      </c>
      <c r="M19" s="243"/>
      <c r="N19" s="247"/>
      <c r="O19" s="243"/>
      <c r="P19" s="245"/>
      <c r="Q19" s="245"/>
      <c r="R19" s="246"/>
      <c r="S19" s="247" t="b">
        <f t="shared" si="2"/>
        <v>0</v>
      </c>
      <c r="T19" s="243"/>
      <c r="U19" s="247"/>
      <c r="V19" s="243"/>
      <c r="W19" s="245"/>
      <c r="X19" s="245"/>
      <c r="Y19" s="245"/>
      <c r="Z19" s="246"/>
      <c r="AA19" s="247" t="b">
        <f t="shared" si="3"/>
        <v>0</v>
      </c>
      <c r="AB19" s="243"/>
      <c r="AC19" s="247"/>
      <c r="AD19" s="243"/>
      <c r="AE19" s="245"/>
      <c r="AF19" s="245"/>
      <c r="AG19" s="245"/>
      <c r="AH19" s="246"/>
      <c r="AI19" s="247" t="b">
        <f t="shared" si="4"/>
        <v>0</v>
      </c>
      <c r="AJ19" s="243"/>
      <c r="AK19" s="247"/>
      <c r="AL19" s="243"/>
      <c r="AM19" s="245"/>
      <c r="AN19" s="245"/>
      <c r="AO19" s="245"/>
      <c r="AP19" s="246"/>
      <c r="AR19" s="248"/>
      <c r="AS19" s="162"/>
    </row>
    <row r="20" spans="2:45" ht="33.75" customHeight="1" x14ac:dyDescent="0.25">
      <c r="B20" s="152"/>
      <c r="C20" s="153" t="str">
        <f ca="1">RiskList!A14</f>
        <v>Company 113</v>
      </c>
      <c r="D20" s="154" t="str">
        <f ca="1">RiskList!B14</f>
        <v/>
      </c>
      <c r="E20" t="b">
        <f t="shared" si="0"/>
        <v>0</v>
      </c>
      <c r="F20" s="243"/>
      <c r="G20" s="244"/>
      <c r="H20" s="243"/>
      <c r="I20" s="245"/>
      <c r="J20" s="245"/>
      <c r="K20" s="246"/>
      <c r="L20" s="247" t="b">
        <f t="shared" si="1"/>
        <v>0</v>
      </c>
      <c r="M20" s="243"/>
      <c r="N20" s="247"/>
      <c r="O20" s="243"/>
      <c r="P20" s="245"/>
      <c r="Q20" s="245"/>
      <c r="R20" s="246"/>
      <c r="S20" s="247" t="b">
        <f t="shared" si="2"/>
        <v>0</v>
      </c>
      <c r="T20" s="243"/>
      <c r="U20" s="247"/>
      <c r="V20" s="243"/>
      <c r="W20" s="245"/>
      <c r="X20" s="245"/>
      <c r="Y20" s="245"/>
      <c r="Z20" s="246"/>
      <c r="AA20" s="247" t="b">
        <f t="shared" si="3"/>
        <v>0</v>
      </c>
      <c r="AB20" s="243"/>
      <c r="AC20" s="247"/>
      <c r="AD20" s="243"/>
      <c r="AE20" s="245"/>
      <c r="AF20" s="245"/>
      <c r="AG20" s="245"/>
      <c r="AH20" s="246"/>
      <c r="AI20" s="247" t="b">
        <f t="shared" si="4"/>
        <v>0</v>
      </c>
      <c r="AJ20" s="243"/>
      <c r="AK20" s="247"/>
      <c r="AL20" s="243"/>
      <c r="AM20" s="245"/>
      <c r="AN20" s="245"/>
      <c r="AO20" s="245"/>
      <c r="AP20" s="246"/>
      <c r="AR20" s="248"/>
      <c r="AS20" s="162"/>
    </row>
    <row r="21" spans="2:45" ht="33.75" customHeight="1" x14ac:dyDescent="0.25">
      <c r="B21" s="152"/>
      <c r="C21" s="153" t="str">
        <f ca="1">RiskList!A15</f>
        <v>Company 114</v>
      </c>
      <c r="D21" s="154" t="str">
        <f ca="1">RiskList!B15</f>
        <v/>
      </c>
      <c r="E21" t="b">
        <f t="shared" si="0"/>
        <v>0</v>
      </c>
      <c r="F21" s="243"/>
      <c r="G21" s="244"/>
      <c r="H21" s="243"/>
      <c r="I21" s="245"/>
      <c r="J21" s="245"/>
      <c r="K21" s="246"/>
      <c r="L21" s="247" t="b">
        <f t="shared" si="1"/>
        <v>0</v>
      </c>
      <c r="M21" s="243"/>
      <c r="N21" s="247"/>
      <c r="O21" s="243"/>
      <c r="P21" s="245"/>
      <c r="Q21" s="245"/>
      <c r="R21" s="246"/>
      <c r="S21" s="247" t="b">
        <f t="shared" si="2"/>
        <v>0</v>
      </c>
      <c r="T21" s="243"/>
      <c r="U21" s="247"/>
      <c r="V21" s="243"/>
      <c r="W21" s="245"/>
      <c r="X21" s="245"/>
      <c r="Y21" s="245"/>
      <c r="Z21" s="246"/>
      <c r="AA21" s="247" t="b">
        <f t="shared" si="3"/>
        <v>0</v>
      </c>
      <c r="AB21" s="243"/>
      <c r="AC21" s="247"/>
      <c r="AD21" s="243"/>
      <c r="AE21" s="245"/>
      <c r="AF21" s="245"/>
      <c r="AG21" s="245"/>
      <c r="AH21" s="246"/>
      <c r="AI21" s="247" t="b">
        <f t="shared" si="4"/>
        <v>0</v>
      </c>
      <c r="AJ21" s="243"/>
      <c r="AK21" s="247"/>
      <c r="AL21" s="243"/>
      <c r="AM21" s="245"/>
      <c r="AN21" s="245"/>
      <c r="AO21" s="245"/>
      <c r="AP21" s="246"/>
      <c r="AR21" s="248"/>
      <c r="AS21" s="162"/>
    </row>
    <row r="22" spans="2:45" ht="33.75" customHeight="1" x14ac:dyDescent="0.25">
      <c r="B22" s="152"/>
      <c r="C22" s="153" t="str">
        <f ca="1">RiskList!A16</f>
        <v>Company 115</v>
      </c>
      <c r="D22" s="154" t="str">
        <f ca="1">RiskList!B16</f>
        <v/>
      </c>
      <c r="E22" t="b">
        <f t="shared" si="0"/>
        <v>0</v>
      </c>
      <c r="F22" s="243"/>
      <c r="G22" s="244"/>
      <c r="H22" s="243"/>
      <c r="I22" s="245"/>
      <c r="J22" s="245"/>
      <c r="K22" s="246"/>
      <c r="L22" s="247" t="b">
        <f t="shared" si="1"/>
        <v>0</v>
      </c>
      <c r="M22" s="243"/>
      <c r="N22" s="247"/>
      <c r="O22" s="243"/>
      <c r="P22" s="245"/>
      <c r="Q22" s="245"/>
      <c r="R22" s="246"/>
      <c r="S22" s="247" t="b">
        <f t="shared" si="2"/>
        <v>0</v>
      </c>
      <c r="T22" s="243"/>
      <c r="U22" s="247"/>
      <c r="V22" s="243"/>
      <c r="W22" s="245"/>
      <c r="X22" s="245"/>
      <c r="Y22" s="245"/>
      <c r="Z22" s="246"/>
      <c r="AA22" s="247" t="b">
        <f t="shared" si="3"/>
        <v>0</v>
      </c>
      <c r="AB22" s="243"/>
      <c r="AC22" s="247"/>
      <c r="AD22" s="243"/>
      <c r="AE22" s="245"/>
      <c r="AF22" s="245"/>
      <c r="AG22" s="245"/>
      <c r="AH22" s="246"/>
      <c r="AI22" s="247" t="b">
        <f t="shared" si="4"/>
        <v>0</v>
      </c>
      <c r="AJ22" s="243"/>
      <c r="AK22" s="247"/>
      <c r="AL22" s="243"/>
      <c r="AM22" s="245"/>
      <c r="AN22" s="245"/>
      <c r="AO22" s="245"/>
      <c r="AP22" s="246"/>
      <c r="AR22" s="248"/>
      <c r="AS22" s="162"/>
    </row>
    <row r="23" spans="2:45" ht="33.75" customHeight="1" x14ac:dyDescent="0.25">
      <c r="B23" s="152"/>
      <c r="C23" s="153" t="str">
        <f ca="1">RiskList!A17</f>
        <v>Company 116</v>
      </c>
      <c r="D23" s="154" t="str">
        <f ca="1">RiskList!B17</f>
        <v/>
      </c>
      <c r="E23" t="b">
        <f t="shared" si="0"/>
        <v>0</v>
      </c>
      <c r="F23" s="243"/>
      <c r="G23" s="244"/>
      <c r="H23" s="243"/>
      <c r="I23" s="245"/>
      <c r="J23" s="245"/>
      <c r="K23" s="246"/>
      <c r="L23" s="247" t="b">
        <f t="shared" si="1"/>
        <v>0</v>
      </c>
      <c r="M23" s="243"/>
      <c r="N23" s="247"/>
      <c r="O23" s="243"/>
      <c r="P23" s="245"/>
      <c r="Q23" s="245"/>
      <c r="R23" s="246"/>
      <c r="S23" s="247" t="b">
        <f t="shared" si="2"/>
        <v>0</v>
      </c>
      <c r="T23" s="243"/>
      <c r="U23" s="247"/>
      <c r="V23" s="243"/>
      <c r="W23" s="245"/>
      <c r="X23" s="245"/>
      <c r="Y23" s="245"/>
      <c r="Z23" s="246"/>
      <c r="AA23" s="247" t="b">
        <f t="shared" si="3"/>
        <v>0</v>
      </c>
      <c r="AB23" s="243"/>
      <c r="AC23" s="247"/>
      <c r="AD23" s="243"/>
      <c r="AE23" s="245"/>
      <c r="AF23" s="245"/>
      <c r="AG23" s="245"/>
      <c r="AH23" s="246"/>
      <c r="AI23" s="247" t="b">
        <f t="shared" si="4"/>
        <v>0</v>
      </c>
      <c r="AJ23" s="243"/>
      <c r="AK23" s="247"/>
      <c r="AL23" s="243"/>
      <c r="AM23" s="245"/>
      <c r="AN23" s="245"/>
      <c r="AO23" s="245"/>
      <c r="AP23" s="246"/>
      <c r="AR23" s="248"/>
      <c r="AS23" s="162"/>
    </row>
    <row r="24" spans="2:45" ht="33.75" customHeight="1" x14ac:dyDescent="0.25">
      <c r="B24" s="152"/>
      <c r="C24" s="153" t="str">
        <f ca="1">RiskList!A18</f>
        <v>Company 117</v>
      </c>
      <c r="D24" s="154" t="str">
        <f ca="1">RiskList!B18</f>
        <v/>
      </c>
      <c r="E24" t="b">
        <f t="shared" si="0"/>
        <v>0</v>
      </c>
      <c r="F24" s="243"/>
      <c r="G24" s="244"/>
      <c r="H24" s="243"/>
      <c r="I24" s="245"/>
      <c r="J24" s="245"/>
      <c r="K24" s="246"/>
      <c r="L24" s="247" t="b">
        <f t="shared" si="1"/>
        <v>0</v>
      </c>
      <c r="M24" s="243"/>
      <c r="N24" s="247"/>
      <c r="O24" s="243"/>
      <c r="P24" s="245"/>
      <c r="Q24" s="245"/>
      <c r="R24" s="246"/>
      <c r="S24" s="247" t="b">
        <f t="shared" si="2"/>
        <v>0</v>
      </c>
      <c r="T24" s="243"/>
      <c r="U24" s="247"/>
      <c r="V24" s="243"/>
      <c r="W24" s="245"/>
      <c r="X24" s="245"/>
      <c r="Y24" s="245"/>
      <c r="Z24" s="246"/>
      <c r="AA24" s="247" t="b">
        <f t="shared" si="3"/>
        <v>0</v>
      </c>
      <c r="AB24" s="243"/>
      <c r="AC24" s="247"/>
      <c r="AD24" s="243"/>
      <c r="AE24" s="245"/>
      <c r="AF24" s="245"/>
      <c r="AG24" s="245"/>
      <c r="AH24" s="246"/>
      <c r="AI24" s="247" t="b">
        <f t="shared" si="4"/>
        <v>0</v>
      </c>
      <c r="AJ24" s="243"/>
      <c r="AK24" s="247"/>
      <c r="AL24" s="243"/>
      <c r="AM24" s="245"/>
      <c r="AN24" s="245"/>
      <c r="AO24" s="245"/>
      <c r="AP24" s="246"/>
      <c r="AR24" s="248"/>
      <c r="AS24" s="162"/>
    </row>
    <row r="25" spans="2:45" ht="33.75" customHeight="1" x14ac:dyDescent="0.25">
      <c r="B25" s="152"/>
      <c r="C25" s="153" t="str">
        <f ca="1">RiskList!A19</f>
        <v>Company 118</v>
      </c>
      <c r="D25" s="154" t="str">
        <f ca="1">RiskList!B19</f>
        <v/>
      </c>
      <c r="E25" t="b">
        <f t="shared" si="0"/>
        <v>0</v>
      </c>
      <c r="F25" s="243"/>
      <c r="G25" s="244"/>
      <c r="H25" s="243"/>
      <c r="I25" s="245"/>
      <c r="J25" s="245"/>
      <c r="K25" s="246"/>
      <c r="L25" s="247" t="b">
        <f t="shared" si="1"/>
        <v>0</v>
      </c>
      <c r="M25" s="243"/>
      <c r="N25" s="247"/>
      <c r="O25" s="243"/>
      <c r="P25" s="245"/>
      <c r="Q25" s="245"/>
      <c r="R25" s="246"/>
      <c r="S25" s="247" t="b">
        <f t="shared" si="2"/>
        <v>0</v>
      </c>
      <c r="T25" s="243"/>
      <c r="U25" s="247"/>
      <c r="V25" s="243"/>
      <c r="W25" s="245"/>
      <c r="X25" s="245"/>
      <c r="Y25" s="245"/>
      <c r="Z25" s="246"/>
      <c r="AA25" s="247" t="b">
        <f t="shared" si="3"/>
        <v>0</v>
      </c>
      <c r="AB25" s="243"/>
      <c r="AC25" s="247"/>
      <c r="AD25" s="243"/>
      <c r="AE25" s="245"/>
      <c r="AF25" s="245"/>
      <c r="AG25" s="245"/>
      <c r="AH25" s="246"/>
      <c r="AI25" s="247" t="b">
        <f t="shared" si="4"/>
        <v>0</v>
      </c>
      <c r="AJ25" s="243"/>
      <c r="AK25" s="247"/>
      <c r="AL25" s="243"/>
      <c r="AM25" s="245"/>
      <c r="AN25" s="245"/>
      <c r="AO25" s="245"/>
      <c r="AP25" s="246"/>
      <c r="AR25" s="248"/>
      <c r="AS25" s="162"/>
    </row>
    <row r="26" spans="2:45" ht="33.75" customHeight="1" x14ac:dyDescent="0.25">
      <c r="B26" s="152"/>
      <c r="C26" s="153" t="str">
        <f ca="1">RiskList!A20</f>
        <v>Company 119</v>
      </c>
      <c r="D26" s="154" t="str">
        <f ca="1">RiskList!B20</f>
        <v/>
      </c>
      <c r="E26" t="b">
        <f t="shared" si="0"/>
        <v>0</v>
      </c>
      <c r="F26" s="243"/>
      <c r="G26" s="244"/>
      <c r="H26" s="243"/>
      <c r="I26" s="245"/>
      <c r="J26" s="245"/>
      <c r="K26" s="246"/>
      <c r="L26" s="247" t="b">
        <f t="shared" si="1"/>
        <v>0</v>
      </c>
      <c r="M26" s="243"/>
      <c r="N26" s="247"/>
      <c r="O26" s="243"/>
      <c r="P26" s="245"/>
      <c r="Q26" s="245"/>
      <c r="R26" s="246"/>
      <c r="S26" s="247" t="b">
        <f t="shared" si="2"/>
        <v>0</v>
      </c>
      <c r="T26" s="243"/>
      <c r="U26" s="247"/>
      <c r="V26" s="243"/>
      <c r="W26" s="245"/>
      <c r="X26" s="245"/>
      <c r="Y26" s="245"/>
      <c r="Z26" s="246"/>
      <c r="AA26" s="247" t="b">
        <f t="shared" si="3"/>
        <v>0</v>
      </c>
      <c r="AB26" s="243"/>
      <c r="AC26" s="247"/>
      <c r="AD26" s="243"/>
      <c r="AE26" s="245"/>
      <c r="AF26" s="245"/>
      <c r="AG26" s="245"/>
      <c r="AH26" s="246"/>
      <c r="AI26" s="247" t="b">
        <f t="shared" si="4"/>
        <v>0</v>
      </c>
      <c r="AJ26" s="243"/>
      <c r="AK26" s="247"/>
      <c r="AL26" s="243"/>
      <c r="AM26" s="245"/>
      <c r="AN26" s="245"/>
      <c r="AO26" s="245"/>
      <c r="AP26" s="246"/>
      <c r="AR26" s="248"/>
      <c r="AS26" s="162"/>
    </row>
    <row r="27" spans="2:45" ht="33.75" customHeight="1" x14ac:dyDescent="0.25">
      <c r="B27" s="152"/>
      <c r="C27" s="153" t="str">
        <f ca="1">RiskList!A21</f>
        <v>Company 120</v>
      </c>
      <c r="D27" s="154" t="str">
        <f ca="1">RiskList!B21</f>
        <v/>
      </c>
      <c r="E27" t="b">
        <f t="shared" si="0"/>
        <v>0</v>
      </c>
      <c r="F27" s="243"/>
      <c r="G27" s="244"/>
      <c r="H27" s="243"/>
      <c r="I27" s="245"/>
      <c r="J27" s="245"/>
      <c r="K27" s="246"/>
      <c r="L27" s="247" t="b">
        <f t="shared" si="1"/>
        <v>0</v>
      </c>
      <c r="M27" s="243"/>
      <c r="N27" s="247"/>
      <c r="O27" s="243"/>
      <c r="P27" s="245"/>
      <c r="Q27" s="245"/>
      <c r="R27" s="246"/>
      <c r="S27" s="247" t="b">
        <f t="shared" si="2"/>
        <v>0</v>
      </c>
      <c r="T27" s="243"/>
      <c r="U27" s="247"/>
      <c r="V27" s="243"/>
      <c r="W27" s="245"/>
      <c r="X27" s="245"/>
      <c r="Y27" s="245"/>
      <c r="Z27" s="246"/>
      <c r="AA27" s="247" t="b">
        <f t="shared" si="3"/>
        <v>0</v>
      </c>
      <c r="AB27" s="243"/>
      <c r="AC27" s="247"/>
      <c r="AD27" s="243"/>
      <c r="AE27" s="245"/>
      <c r="AF27" s="245"/>
      <c r="AG27" s="245"/>
      <c r="AH27" s="246"/>
      <c r="AI27" s="247" t="b">
        <f t="shared" si="4"/>
        <v>0</v>
      </c>
      <c r="AJ27" s="243"/>
      <c r="AK27" s="247"/>
      <c r="AL27" s="243"/>
      <c r="AM27" s="245"/>
      <c r="AN27" s="245"/>
      <c r="AO27" s="245"/>
      <c r="AP27" s="246"/>
      <c r="AR27" s="248"/>
      <c r="AS27" s="162"/>
    </row>
    <row r="28" spans="2:45" ht="33.75" customHeight="1" x14ac:dyDescent="0.25">
      <c r="B28" s="152"/>
      <c r="C28" s="153" t="str">
        <f ca="1">RiskList!A22</f>
        <v>Company 121</v>
      </c>
      <c r="D28" s="154" t="str">
        <f ca="1">RiskList!B22</f>
        <v/>
      </c>
      <c r="E28" t="b">
        <f t="shared" si="0"/>
        <v>0</v>
      </c>
      <c r="F28" s="243"/>
      <c r="G28" s="244"/>
      <c r="H28" s="243"/>
      <c r="I28" s="245"/>
      <c r="J28" s="245"/>
      <c r="K28" s="246"/>
      <c r="L28" s="247" t="b">
        <f t="shared" si="1"/>
        <v>0</v>
      </c>
      <c r="M28" s="243"/>
      <c r="N28" s="247"/>
      <c r="O28" s="243"/>
      <c r="P28" s="245"/>
      <c r="Q28" s="245"/>
      <c r="R28" s="246"/>
      <c r="S28" s="247" t="b">
        <f t="shared" si="2"/>
        <v>0</v>
      </c>
      <c r="T28" s="243"/>
      <c r="U28" s="247"/>
      <c r="V28" s="243"/>
      <c r="W28" s="245"/>
      <c r="X28" s="245"/>
      <c r="Y28" s="245"/>
      <c r="Z28" s="246"/>
      <c r="AA28" s="247" t="b">
        <f t="shared" si="3"/>
        <v>0</v>
      </c>
      <c r="AB28" s="243"/>
      <c r="AC28" s="247"/>
      <c r="AD28" s="243"/>
      <c r="AE28" s="245"/>
      <c r="AF28" s="245"/>
      <c r="AG28" s="245"/>
      <c r="AH28" s="246"/>
      <c r="AI28" s="247" t="b">
        <f t="shared" si="4"/>
        <v>0</v>
      </c>
      <c r="AJ28" s="243"/>
      <c r="AK28" s="247"/>
      <c r="AL28" s="243"/>
      <c r="AM28" s="245"/>
      <c r="AN28" s="245"/>
      <c r="AO28" s="245"/>
      <c r="AP28" s="246"/>
      <c r="AR28" s="248"/>
      <c r="AS28" s="162"/>
    </row>
    <row r="29" spans="2:45" ht="33.75" customHeight="1" x14ac:dyDescent="0.25">
      <c r="B29" s="152"/>
      <c r="C29" s="153" t="str">
        <f ca="1">RiskList!A23</f>
        <v>Company 122</v>
      </c>
      <c r="D29" s="154" t="str">
        <f ca="1">RiskList!B23</f>
        <v/>
      </c>
      <c r="E29" t="b">
        <f t="shared" si="0"/>
        <v>0</v>
      </c>
      <c r="F29" s="243"/>
      <c r="G29" s="244"/>
      <c r="H29" s="243"/>
      <c r="I29" s="245"/>
      <c r="J29" s="245"/>
      <c r="K29" s="246"/>
      <c r="L29" s="247" t="b">
        <f t="shared" si="1"/>
        <v>0</v>
      </c>
      <c r="M29" s="243"/>
      <c r="N29" s="247"/>
      <c r="O29" s="243"/>
      <c r="P29" s="245"/>
      <c r="Q29" s="245"/>
      <c r="R29" s="246"/>
      <c r="S29" s="247" t="b">
        <f t="shared" si="2"/>
        <v>0</v>
      </c>
      <c r="T29" s="243"/>
      <c r="U29" s="247"/>
      <c r="V29" s="243"/>
      <c r="W29" s="245"/>
      <c r="X29" s="245"/>
      <c r="Y29" s="245"/>
      <c r="Z29" s="246"/>
      <c r="AA29" s="247" t="b">
        <f t="shared" si="3"/>
        <v>0</v>
      </c>
      <c r="AB29" s="243"/>
      <c r="AC29" s="247"/>
      <c r="AD29" s="243"/>
      <c r="AE29" s="245"/>
      <c r="AF29" s="245"/>
      <c r="AG29" s="245"/>
      <c r="AH29" s="246"/>
      <c r="AI29" s="247" t="b">
        <f t="shared" si="4"/>
        <v>0</v>
      </c>
      <c r="AJ29" s="243"/>
      <c r="AK29" s="247"/>
      <c r="AL29" s="243"/>
      <c r="AM29" s="245"/>
      <c r="AN29" s="245"/>
      <c r="AO29" s="245"/>
      <c r="AP29" s="246"/>
      <c r="AR29" s="248"/>
      <c r="AS29" s="162"/>
    </row>
    <row r="30" spans="2:45" ht="33.75" customHeight="1" x14ac:dyDescent="0.25">
      <c r="B30" s="152"/>
      <c r="C30" s="153" t="str">
        <f ca="1">RiskList!A24</f>
        <v>Company 123</v>
      </c>
      <c r="D30" s="154" t="str">
        <f ca="1">RiskList!B24</f>
        <v/>
      </c>
      <c r="E30" t="b">
        <f t="shared" si="0"/>
        <v>0</v>
      </c>
      <c r="F30" s="243"/>
      <c r="G30" s="244"/>
      <c r="H30" s="243"/>
      <c r="I30" s="245"/>
      <c r="J30" s="245"/>
      <c r="K30" s="246"/>
      <c r="L30" s="247" t="b">
        <f t="shared" si="1"/>
        <v>0</v>
      </c>
      <c r="M30" s="243"/>
      <c r="N30" s="247"/>
      <c r="O30" s="243"/>
      <c r="P30" s="245"/>
      <c r="Q30" s="245"/>
      <c r="R30" s="246"/>
      <c r="S30" s="247" t="b">
        <f t="shared" si="2"/>
        <v>0</v>
      </c>
      <c r="T30" s="243"/>
      <c r="U30" s="247"/>
      <c r="V30" s="243"/>
      <c r="W30" s="245"/>
      <c r="X30" s="245"/>
      <c r="Y30" s="245"/>
      <c r="Z30" s="246"/>
      <c r="AA30" s="247" t="b">
        <f t="shared" si="3"/>
        <v>0</v>
      </c>
      <c r="AB30" s="243"/>
      <c r="AC30" s="247"/>
      <c r="AD30" s="243"/>
      <c r="AE30" s="245"/>
      <c r="AF30" s="245"/>
      <c r="AG30" s="245"/>
      <c r="AH30" s="246"/>
      <c r="AI30" s="247" t="b">
        <f t="shared" si="4"/>
        <v>0</v>
      </c>
      <c r="AJ30" s="243"/>
      <c r="AK30" s="247"/>
      <c r="AL30" s="243"/>
      <c r="AM30" s="245"/>
      <c r="AN30" s="245"/>
      <c r="AO30" s="245"/>
      <c r="AP30" s="246"/>
      <c r="AR30" s="248"/>
      <c r="AS30" s="162"/>
    </row>
    <row r="31" spans="2:45" ht="33.75" customHeight="1" x14ac:dyDescent="0.25">
      <c r="B31" s="152"/>
      <c r="C31" s="153" t="str">
        <f ca="1">RiskList!A25</f>
        <v>Company 124</v>
      </c>
      <c r="D31" s="154" t="str">
        <f ca="1">RiskList!B25</f>
        <v/>
      </c>
      <c r="E31" t="b">
        <f t="shared" si="0"/>
        <v>0</v>
      </c>
      <c r="F31" s="243"/>
      <c r="G31" s="244"/>
      <c r="H31" s="243"/>
      <c r="I31" s="245"/>
      <c r="J31" s="245"/>
      <c r="K31" s="246"/>
      <c r="L31" s="247" t="b">
        <f t="shared" si="1"/>
        <v>0</v>
      </c>
      <c r="M31" s="243"/>
      <c r="N31" s="247"/>
      <c r="O31" s="243"/>
      <c r="P31" s="245"/>
      <c r="Q31" s="245"/>
      <c r="R31" s="246"/>
      <c r="S31" s="247" t="b">
        <f t="shared" si="2"/>
        <v>0</v>
      </c>
      <c r="T31" s="243"/>
      <c r="U31" s="247"/>
      <c r="V31" s="243"/>
      <c r="W31" s="245"/>
      <c r="X31" s="245"/>
      <c r="Y31" s="245"/>
      <c r="Z31" s="246"/>
      <c r="AA31" s="247" t="b">
        <f t="shared" si="3"/>
        <v>0</v>
      </c>
      <c r="AB31" s="243"/>
      <c r="AC31" s="247"/>
      <c r="AD31" s="243"/>
      <c r="AE31" s="245"/>
      <c r="AF31" s="245"/>
      <c r="AG31" s="245"/>
      <c r="AH31" s="246"/>
      <c r="AI31" s="247" t="b">
        <f t="shared" si="4"/>
        <v>0</v>
      </c>
      <c r="AJ31" s="243"/>
      <c r="AK31" s="247"/>
      <c r="AL31" s="243"/>
      <c r="AM31" s="245"/>
      <c r="AN31" s="245"/>
      <c r="AO31" s="245"/>
      <c r="AP31" s="246"/>
      <c r="AR31" s="248"/>
      <c r="AS31" s="162"/>
    </row>
    <row r="32" spans="2:45" ht="33.75" customHeight="1" x14ac:dyDescent="0.25">
      <c r="B32" s="152"/>
      <c r="C32" s="153" t="str">
        <f ca="1">RiskList!A26</f>
        <v>Company 125</v>
      </c>
      <c r="D32" s="154" t="str">
        <f ca="1">RiskList!B26</f>
        <v/>
      </c>
      <c r="E32" t="b">
        <f t="shared" si="0"/>
        <v>0</v>
      </c>
      <c r="F32" s="243"/>
      <c r="G32" s="244"/>
      <c r="H32" s="243"/>
      <c r="I32" s="245"/>
      <c r="J32" s="245"/>
      <c r="K32" s="246"/>
      <c r="L32" s="247" t="b">
        <f t="shared" si="1"/>
        <v>0</v>
      </c>
      <c r="M32" s="243"/>
      <c r="N32" s="247"/>
      <c r="O32" s="243"/>
      <c r="P32" s="245"/>
      <c r="Q32" s="245"/>
      <c r="R32" s="246"/>
      <c r="S32" s="247" t="b">
        <f t="shared" si="2"/>
        <v>0</v>
      </c>
      <c r="T32" s="243"/>
      <c r="U32" s="247"/>
      <c r="V32" s="243"/>
      <c r="W32" s="245"/>
      <c r="X32" s="245"/>
      <c r="Y32" s="245"/>
      <c r="Z32" s="246"/>
      <c r="AA32" s="247" t="b">
        <f t="shared" si="3"/>
        <v>0</v>
      </c>
      <c r="AB32" s="243"/>
      <c r="AC32" s="247"/>
      <c r="AD32" s="243"/>
      <c r="AE32" s="245"/>
      <c r="AF32" s="245"/>
      <c r="AG32" s="245"/>
      <c r="AH32" s="246"/>
      <c r="AI32" s="247" t="b">
        <f t="shared" si="4"/>
        <v>0</v>
      </c>
      <c r="AJ32" s="243"/>
      <c r="AK32" s="247"/>
      <c r="AL32" s="243"/>
      <c r="AM32" s="245"/>
      <c r="AN32" s="245"/>
      <c r="AO32" s="245"/>
      <c r="AP32" s="246"/>
      <c r="AR32" s="248"/>
      <c r="AS32" s="162"/>
    </row>
    <row r="33" spans="2:45" ht="33.75" customHeight="1" x14ac:dyDescent="0.25">
      <c r="B33" s="152"/>
      <c r="C33" s="153" t="str">
        <f ca="1">RiskList!A27</f>
        <v>Company 126</v>
      </c>
      <c r="D33" s="154" t="str">
        <f ca="1">RiskList!B27</f>
        <v/>
      </c>
      <c r="E33" t="b">
        <f t="shared" si="0"/>
        <v>0</v>
      </c>
      <c r="F33" s="243"/>
      <c r="G33" s="244"/>
      <c r="H33" s="243"/>
      <c r="I33" s="245"/>
      <c r="J33" s="245"/>
      <c r="K33" s="246"/>
      <c r="L33" s="247" t="b">
        <f t="shared" si="1"/>
        <v>0</v>
      </c>
      <c r="M33" s="243"/>
      <c r="N33" s="247"/>
      <c r="O33" s="243"/>
      <c r="P33" s="245"/>
      <c r="Q33" s="245"/>
      <c r="R33" s="246"/>
      <c r="S33" s="247" t="b">
        <f t="shared" si="2"/>
        <v>0</v>
      </c>
      <c r="T33" s="243"/>
      <c r="U33" s="247"/>
      <c r="V33" s="243"/>
      <c r="W33" s="245"/>
      <c r="X33" s="245"/>
      <c r="Y33" s="245"/>
      <c r="Z33" s="246"/>
      <c r="AA33" s="247" t="b">
        <f t="shared" si="3"/>
        <v>0</v>
      </c>
      <c r="AB33" s="243"/>
      <c r="AC33" s="247"/>
      <c r="AD33" s="243"/>
      <c r="AE33" s="245"/>
      <c r="AF33" s="245"/>
      <c r="AG33" s="245"/>
      <c r="AH33" s="246"/>
      <c r="AI33" s="247" t="b">
        <f t="shared" si="4"/>
        <v>0</v>
      </c>
      <c r="AJ33" s="243"/>
      <c r="AK33" s="247"/>
      <c r="AL33" s="243"/>
      <c r="AM33" s="245"/>
      <c r="AN33" s="245"/>
      <c r="AO33" s="245"/>
      <c r="AP33" s="246"/>
      <c r="AR33" s="248"/>
      <c r="AS33" s="162"/>
    </row>
    <row r="34" spans="2:45" ht="33.75" customHeight="1" x14ac:dyDescent="0.25">
      <c r="B34" s="152"/>
      <c r="C34" s="153" t="str">
        <f ca="1">RiskList!A28</f>
        <v>Company 127</v>
      </c>
      <c r="D34" s="154" t="str">
        <f ca="1">RiskList!B28</f>
        <v/>
      </c>
      <c r="E34" t="b">
        <f t="shared" si="0"/>
        <v>0</v>
      </c>
      <c r="F34" s="243"/>
      <c r="G34" s="244"/>
      <c r="H34" s="243"/>
      <c r="I34" s="245"/>
      <c r="J34" s="245"/>
      <c r="K34" s="246"/>
      <c r="L34" s="247" t="b">
        <f t="shared" si="1"/>
        <v>0</v>
      </c>
      <c r="M34" s="243"/>
      <c r="N34" s="247"/>
      <c r="O34" s="243"/>
      <c r="P34" s="245"/>
      <c r="Q34" s="245"/>
      <c r="R34" s="246"/>
      <c r="S34" s="247" t="b">
        <f t="shared" si="2"/>
        <v>0</v>
      </c>
      <c r="T34" s="243"/>
      <c r="U34" s="247"/>
      <c r="V34" s="243"/>
      <c r="W34" s="245"/>
      <c r="X34" s="245"/>
      <c r="Y34" s="245"/>
      <c r="Z34" s="246"/>
      <c r="AA34" s="247" t="b">
        <f t="shared" si="3"/>
        <v>0</v>
      </c>
      <c r="AB34" s="243"/>
      <c r="AC34" s="247"/>
      <c r="AD34" s="243"/>
      <c r="AE34" s="245"/>
      <c r="AF34" s="245"/>
      <c r="AG34" s="245"/>
      <c r="AH34" s="246"/>
      <c r="AI34" s="247" t="b">
        <f t="shared" si="4"/>
        <v>0</v>
      </c>
      <c r="AJ34" s="243"/>
      <c r="AK34" s="247"/>
      <c r="AL34" s="243"/>
      <c r="AM34" s="245"/>
      <c r="AN34" s="245"/>
      <c r="AO34" s="245"/>
      <c r="AP34" s="246"/>
      <c r="AR34" s="248"/>
      <c r="AS34" s="162"/>
    </row>
    <row r="35" spans="2:45" ht="33.75" customHeight="1" x14ac:dyDescent="0.25">
      <c r="B35" s="152"/>
      <c r="C35" s="153" t="str">
        <f ca="1">RiskList!A29</f>
        <v>Company 128</v>
      </c>
      <c r="D35" s="154" t="str">
        <f ca="1">RiskList!B29</f>
        <v/>
      </c>
      <c r="E35" t="b">
        <f t="shared" si="0"/>
        <v>0</v>
      </c>
      <c r="F35" s="243"/>
      <c r="G35" s="244"/>
      <c r="H35" s="243"/>
      <c r="I35" s="245"/>
      <c r="J35" s="245"/>
      <c r="K35" s="246"/>
      <c r="L35" s="247" t="b">
        <f t="shared" si="1"/>
        <v>0</v>
      </c>
      <c r="M35" s="243"/>
      <c r="N35" s="247"/>
      <c r="O35" s="243"/>
      <c r="P35" s="245"/>
      <c r="Q35" s="245"/>
      <c r="R35" s="246"/>
      <c r="S35" s="247" t="b">
        <f t="shared" si="2"/>
        <v>0</v>
      </c>
      <c r="T35" s="243"/>
      <c r="U35" s="247"/>
      <c r="V35" s="243"/>
      <c r="W35" s="245"/>
      <c r="X35" s="245"/>
      <c r="Y35" s="245"/>
      <c r="Z35" s="246"/>
      <c r="AA35" s="247" t="b">
        <f t="shared" si="3"/>
        <v>0</v>
      </c>
      <c r="AB35" s="243"/>
      <c r="AC35" s="247"/>
      <c r="AD35" s="243"/>
      <c r="AE35" s="245"/>
      <c r="AF35" s="245"/>
      <c r="AG35" s="245"/>
      <c r="AH35" s="246"/>
      <c r="AI35" s="247" t="b">
        <f t="shared" si="4"/>
        <v>0</v>
      </c>
      <c r="AJ35" s="243"/>
      <c r="AK35" s="247"/>
      <c r="AL35" s="243"/>
      <c r="AM35" s="245"/>
      <c r="AN35" s="245"/>
      <c r="AO35" s="245"/>
      <c r="AP35" s="246"/>
      <c r="AR35" s="248"/>
      <c r="AS35" s="162"/>
    </row>
    <row r="36" spans="2:45" ht="33.75" customHeight="1" x14ac:dyDescent="0.25">
      <c r="B36" s="152"/>
      <c r="C36" s="153" t="str">
        <f ca="1">RiskList!A30</f>
        <v>Company 129</v>
      </c>
      <c r="D36" s="154" t="str">
        <f ca="1">RiskList!B30</f>
        <v/>
      </c>
      <c r="E36" t="b">
        <f t="shared" si="0"/>
        <v>0</v>
      </c>
      <c r="F36" s="243"/>
      <c r="G36" s="244"/>
      <c r="H36" s="243"/>
      <c r="I36" s="245"/>
      <c r="J36" s="245"/>
      <c r="K36" s="246"/>
      <c r="L36" s="247" t="b">
        <f t="shared" si="1"/>
        <v>0</v>
      </c>
      <c r="M36" s="243"/>
      <c r="N36" s="247"/>
      <c r="O36" s="243"/>
      <c r="P36" s="245"/>
      <c r="Q36" s="245"/>
      <c r="R36" s="246"/>
      <c r="S36" s="247" t="b">
        <f t="shared" si="2"/>
        <v>0</v>
      </c>
      <c r="T36" s="243"/>
      <c r="U36" s="247"/>
      <c r="V36" s="243"/>
      <c r="W36" s="245"/>
      <c r="X36" s="245"/>
      <c r="Y36" s="245"/>
      <c r="Z36" s="246"/>
      <c r="AA36" s="247" t="b">
        <f t="shared" si="3"/>
        <v>0</v>
      </c>
      <c r="AB36" s="243"/>
      <c r="AC36" s="247"/>
      <c r="AD36" s="243"/>
      <c r="AE36" s="245"/>
      <c r="AF36" s="245"/>
      <c r="AG36" s="245"/>
      <c r="AH36" s="246"/>
      <c r="AI36" s="247" t="b">
        <f t="shared" si="4"/>
        <v>0</v>
      </c>
      <c r="AJ36" s="243"/>
      <c r="AK36" s="247"/>
      <c r="AL36" s="243"/>
      <c r="AM36" s="245"/>
      <c r="AN36" s="245"/>
      <c r="AO36" s="245"/>
      <c r="AP36" s="246"/>
      <c r="AR36" s="248"/>
      <c r="AS36" s="162"/>
    </row>
    <row r="37" spans="2:45" ht="33.75" customHeight="1" x14ac:dyDescent="0.25">
      <c r="B37" s="152"/>
      <c r="C37" s="153" t="str">
        <f ca="1">RiskList!A31</f>
        <v>Company 130</v>
      </c>
      <c r="D37" s="154" t="str">
        <f ca="1">RiskList!B31</f>
        <v/>
      </c>
      <c r="E37" t="b">
        <f t="shared" si="0"/>
        <v>0</v>
      </c>
      <c r="F37" s="243"/>
      <c r="G37" s="244"/>
      <c r="H37" s="243"/>
      <c r="I37" s="245"/>
      <c r="J37" s="245"/>
      <c r="K37" s="246"/>
      <c r="L37" s="247" t="b">
        <f t="shared" si="1"/>
        <v>0</v>
      </c>
      <c r="M37" s="243"/>
      <c r="N37" s="247"/>
      <c r="O37" s="243"/>
      <c r="P37" s="245"/>
      <c r="Q37" s="245"/>
      <c r="R37" s="246"/>
      <c r="S37" s="247" t="b">
        <f t="shared" si="2"/>
        <v>0</v>
      </c>
      <c r="T37" s="243"/>
      <c r="U37" s="247"/>
      <c r="V37" s="243"/>
      <c r="W37" s="245"/>
      <c r="X37" s="245"/>
      <c r="Y37" s="245"/>
      <c r="Z37" s="246"/>
      <c r="AA37" s="247" t="b">
        <f t="shared" si="3"/>
        <v>0</v>
      </c>
      <c r="AB37" s="243"/>
      <c r="AC37" s="247"/>
      <c r="AD37" s="243"/>
      <c r="AE37" s="245"/>
      <c r="AF37" s="245"/>
      <c r="AG37" s="245"/>
      <c r="AH37" s="246"/>
      <c r="AI37" s="247" t="b">
        <f t="shared" si="4"/>
        <v>0</v>
      </c>
      <c r="AJ37" s="243"/>
      <c r="AK37" s="247"/>
      <c r="AL37" s="243"/>
      <c r="AM37" s="245"/>
      <c r="AN37" s="245"/>
      <c r="AO37" s="245"/>
      <c r="AP37" s="246"/>
      <c r="AR37" s="248"/>
      <c r="AS37" s="162"/>
    </row>
    <row r="38" spans="2:45" ht="33.75" customHeight="1" x14ac:dyDescent="0.25">
      <c r="B38" s="152"/>
      <c r="C38" s="153" t="str">
        <f ca="1">RiskList!A32</f>
        <v>Company 131</v>
      </c>
      <c r="D38" s="154" t="str">
        <f ca="1">RiskList!B32</f>
        <v/>
      </c>
      <c r="E38" t="b">
        <f t="shared" si="0"/>
        <v>0</v>
      </c>
      <c r="F38" s="243"/>
      <c r="G38" s="244"/>
      <c r="H38" s="243"/>
      <c r="I38" s="245"/>
      <c r="J38" s="245"/>
      <c r="K38" s="246"/>
      <c r="L38" s="247" t="b">
        <f t="shared" si="1"/>
        <v>0</v>
      </c>
      <c r="M38" s="243"/>
      <c r="N38" s="247"/>
      <c r="O38" s="243"/>
      <c r="P38" s="245"/>
      <c r="Q38" s="245"/>
      <c r="R38" s="246"/>
      <c r="S38" s="247" t="b">
        <f t="shared" si="2"/>
        <v>0</v>
      </c>
      <c r="T38" s="243"/>
      <c r="U38" s="247"/>
      <c r="V38" s="243"/>
      <c r="W38" s="245"/>
      <c r="X38" s="245"/>
      <c r="Y38" s="245"/>
      <c r="Z38" s="246"/>
      <c r="AA38" s="247" t="b">
        <f t="shared" si="3"/>
        <v>0</v>
      </c>
      <c r="AB38" s="243"/>
      <c r="AC38" s="247"/>
      <c r="AD38" s="243"/>
      <c r="AE38" s="245"/>
      <c r="AF38" s="245"/>
      <c r="AG38" s="245"/>
      <c r="AH38" s="246"/>
      <c r="AI38" s="247" t="b">
        <f t="shared" si="4"/>
        <v>0</v>
      </c>
      <c r="AJ38" s="243"/>
      <c r="AK38" s="247"/>
      <c r="AL38" s="243"/>
      <c r="AM38" s="245"/>
      <c r="AN38" s="245"/>
      <c r="AO38" s="245"/>
      <c r="AP38" s="246"/>
      <c r="AR38" s="248"/>
      <c r="AS38" s="162"/>
    </row>
    <row r="39" spans="2:45" ht="33.75" customHeight="1" x14ac:dyDescent="0.25">
      <c r="B39" s="152"/>
      <c r="C39" s="153" t="str">
        <f ca="1">RiskList!A33</f>
        <v>Company 132</v>
      </c>
      <c r="D39" s="154" t="str">
        <f ca="1">RiskList!B33</f>
        <v/>
      </c>
      <c r="E39" t="b">
        <f t="shared" si="0"/>
        <v>0</v>
      </c>
      <c r="F39" s="243"/>
      <c r="G39" s="244"/>
      <c r="H39" s="243"/>
      <c r="I39" s="245"/>
      <c r="J39" s="245"/>
      <c r="K39" s="246"/>
      <c r="L39" s="247" t="b">
        <f t="shared" si="1"/>
        <v>0</v>
      </c>
      <c r="M39" s="243"/>
      <c r="N39" s="247"/>
      <c r="O39" s="243"/>
      <c r="P39" s="245"/>
      <c r="Q39" s="245"/>
      <c r="R39" s="246"/>
      <c r="S39" s="247" t="b">
        <f t="shared" si="2"/>
        <v>0</v>
      </c>
      <c r="T39" s="243"/>
      <c r="U39" s="247"/>
      <c r="V39" s="243"/>
      <c r="W39" s="245"/>
      <c r="X39" s="245"/>
      <c r="Y39" s="245"/>
      <c r="Z39" s="246"/>
      <c r="AA39" s="247" t="b">
        <f t="shared" si="3"/>
        <v>0</v>
      </c>
      <c r="AB39" s="243"/>
      <c r="AC39" s="247"/>
      <c r="AD39" s="243"/>
      <c r="AE39" s="245"/>
      <c r="AF39" s="245"/>
      <c r="AG39" s="245"/>
      <c r="AH39" s="246"/>
      <c r="AI39" s="247" t="b">
        <f t="shared" si="4"/>
        <v>0</v>
      </c>
      <c r="AJ39" s="243"/>
      <c r="AK39" s="247"/>
      <c r="AL39" s="243"/>
      <c r="AM39" s="245"/>
      <c r="AN39" s="245"/>
      <c r="AO39" s="245"/>
      <c r="AP39" s="246"/>
      <c r="AR39" s="248"/>
      <c r="AS39" s="162"/>
    </row>
    <row r="40" spans="2:45" ht="33.75" customHeight="1" x14ac:dyDescent="0.25">
      <c r="B40" s="152"/>
      <c r="C40" s="153" t="str">
        <f ca="1">RiskList!A34</f>
        <v>Company 133</v>
      </c>
      <c r="D40" s="154" t="str">
        <f ca="1">RiskList!B34</f>
        <v/>
      </c>
      <c r="E40" t="b">
        <f t="shared" ref="E40:E57" si="5">IF(F40&lt;1,FALSE(),COUNTIF(H40:K40,1))</f>
        <v>0</v>
      </c>
      <c r="F40" s="243"/>
      <c r="G40" s="244"/>
      <c r="H40" s="243"/>
      <c r="I40" s="245"/>
      <c r="J40" s="245"/>
      <c r="K40" s="246"/>
      <c r="L40" s="247" t="b">
        <f t="shared" ref="L40:L57" si="6">IF(M40&lt;1,FALSE(),MAX(O40*1,P40*2,Q40*3,R40*4))</f>
        <v>0</v>
      </c>
      <c r="M40" s="243"/>
      <c r="N40" s="247"/>
      <c r="O40" s="243"/>
      <c r="P40" s="245"/>
      <c r="Q40" s="245"/>
      <c r="R40" s="246"/>
      <c r="S40" s="247" t="b">
        <f t="shared" ref="S40:S57" si="7">IF(T40&lt;1,FALSE(),MAX(V40*1,W40*2,X40*3,Y40*4,Z40*5))</f>
        <v>0</v>
      </c>
      <c r="T40" s="243"/>
      <c r="U40" s="247"/>
      <c r="V40" s="243"/>
      <c r="W40" s="245"/>
      <c r="X40" s="245"/>
      <c r="Y40" s="245"/>
      <c r="Z40" s="246"/>
      <c r="AA40" s="247" t="b">
        <f t="shared" ref="AA40:AA57" si="8">IF(AB40&lt;1,FALSE(),MAX(AD40*1,AE40*2,AF40*3,AG40*4,AH40*5))</f>
        <v>0</v>
      </c>
      <c r="AB40" s="243"/>
      <c r="AC40" s="247"/>
      <c r="AD40" s="243"/>
      <c r="AE40" s="245"/>
      <c r="AF40" s="245"/>
      <c r="AG40" s="245"/>
      <c r="AH40" s="246"/>
      <c r="AI40" s="247" t="b">
        <f t="shared" ref="AI40:AI57" si="9">IF(AJ40&lt;1,FALSE(),COUNTIF(AL40:AP40,1))</f>
        <v>0</v>
      </c>
      <c r="AJ40" s="243"/>
      <c r="AK40" s="247"/>
      <c r="AL40" s="243"/>
      <c r="AM40" s="245"/>
      <c r="AN40" s="245"/>
      <c r="AO40" s="245"/>
      <c r="AP40" s="246"/>
      <c r="AR40" s="248"/>
      <c r="AS40" s="162"/>
    </row>
    <row r="41" spans="2:45" ht="33.75" customHeight="1" x14ac:dyDescent="0.25">
      <c r="B41" s="152"/>
      <c r="C41" s="153" t="str">
        <f ca="1">RiskList!A35</f>
        <v>Company 134</v>
      </c>
      <c r="D41" s="154" t="str">
        <f ca="1">RiskList!B35</f>
        <v/>
      </c>
      <c r="E41" t="b">
        <f t="shared" si="5"/>
        <v>0</v>
      </c>
      <c r="F41" s="243"/>
      <c r="G41" s="244"/>
      <c r="H41" s="243"/>
      <c r="I41" s="245"/>
      <c r="J41" s="245"/>
      <c r="K41" s="246"/>
      <c r="L41" s="247" t="b">
        <f t="shared" si="6"/>
        <v>0</v>
      </c>
      <c r="M41" s="243"/>
      <c r="N41" s="247"/>
      <c r="O41" s="243"/>
      <c r="P41" s="245"/>
      <c r="Q41" s="245"/>
      <c r="R41" s="246"/>
      <c r="S41" s="247" t="b">
        <f t="shared" si="7"/>
        <v>0</v>
      </c>
      <c r="T41" s="243"/>
      <c r="U41" s="247"/>
      <c r="V41" s="243"/>
      <c r="W41" s="245"/>
      <c r="X41" s="245"/>
      <c r="Y41" s="245"/>
      <c r="Z41" s="246"/>
      <c r="AA41" s="247" t="b">
        <f t="shared" si="8"/>
        <v>0</v>
      </c>
      <c r="AB41" s="243"/>
      <c r="AC41" s="247"/>
      <c r="AD41" s="243"/>
      <c r="AE41" s="245"/>
      <c r="AF41" s="245"/>
      <c r="AG41" s="245"/>
      <c r="AH41" s="246"/>
      <c r="AI41" s="247" t="b">
        <f t="shared" si="9"/>
        <v>0</v>
      </c>
      <c r="AJ41" s="243"/>
      <c r="AK41" s="247"/>
      <c r="AL41" s="243"/>
      <c r="AM41" s="245"/>
      <c r="AN41" s="245"/>
      <c r="AO41" s="245"/>
      <c r="AP41" s="246"/>
      <c r="AR41" s="248"/>
      <c r="AS41" s="162"/>
    </row>
    <row r="42" spans="2:45" ht="33.75" customHeight="1" x14ac:dyDescent="0.25">
      <c r="B42" s="152"/>
      <c r="C42" s="153">
        <f>RiskList!A36</f>
        <v>0</v>
      </c>
      <c r="D42" s="154">
        <f>RiskList!B36</f>
        <v>0</v>
      </c>
      <c r="E42" t="b">
        <f t="shared" si="5"/>
        <v>0</v>
      </c>
      <c r="F42" s="243"/>
      <c r="G42" s="244"/>
      <c r="H42" s="243"/>
      <c r="I42" s="245"/>
      <c r="J42" s="245"/>
      <c r="K42" s="246"/>
      <c r="L42" s="247" t="b">
        <f t="shared" si="6"/>
        <v>0</v>
      </c>
      <c r="M42" s="243"/>
      <c r="N42" s="247"/>
      <c r="O42" s="243"/>
      <c r="P42" s="245"/>
      <c r="Q42" s="245"/>
      <c r="R42" s="246"/>
      <c r="S42" s="247" t="b">
        <f t="shared" si="7"/>
        <v>0</v>
      </c>
      <c r="T42" s="243"/>
      <c r="U42" s="247"/>
      <c r="V42" s="243"/>
      <c r="W42" s="245"/>
      <c r="X42" s="245"/>
      <c r="Y42" s="245"/>
      <c r="Z42" s="246"/>
      <c r="AA42" s="247" t="b">
        <f t="shared" si="8"/>
        <v>0</v>
      </c>
      <c r="AB42" s="243"/>
      <c r="AC42" s="247"/>
      <c r="AD42" s="243"/>
      <c r="AE42" s="245"/>
      <c r="AF42" s="245"/>
      <c r="AG42" s="245"/>
      <c r="AH42" s="246"/>
      <c r="AI42" s="247" t="b">
        <f t="shared" si="9"/>
        <v>0</v>
      </c>
      <c r="AJ42" s="243"/>
      <c r="AK42" s="247"/>
      <c r="AL42" s="243"/>
      <c r="AM42" s="245"/>
      <c r="AN42" s="245"/>
      <c r="AO42" s="245"/>
      <c r="AP42" s="246"/>
      <c r="AR42" s="248"/>
      <c r="AS42" s="162"/>
    </row>
    <row r="43" spans="2:45" ht="33.75" customHeight="1" x14ac:dyDescent="0.25">
      <c r="B43" s="152"/>
      <c r="C43" s="153">
        <f>RiskList!A37</f>
        <v>0</v>
      </c>
      <c r="D43" s="154">
        <f>RiskList!B37</f>
        <v>0</v>
      </c>
      <c r="E43" t="b">
        <f t="shared" si="5"/>
        <v>0</v>
      </c>
      <c r="F43" s="243"/>
      <c r="G43" s="244"/>
      <c r="H43" s="243"/>
      <c r="I43" s="245"/>
      <c r="J43" s="245"/>
      <c r="K43" s="246"/>
      <c r="L43" s="247" t="b">
        <f t="shared" si="6"/>
        <v>0</v>
      </c>
      <c r="M43" s="243"/>
      <c r="N43" s="247"/>
      <c r="O43" s="243"/>
      <c r="P43" s="245"/>
      <c r="Q43" s="245"/>
      <c r="R43" s="246"/>
      <c r="S43" s="247" t="b">
        <f t="shared" si="7"/>
        <v>0</v>
      </c>
      <c r="T43" s="243"/>
      <c r="U43" s="247"/>
      <c r="V43" s="243"/>
      <c r="W43" s="245"/>
      <c r="X43" s="245"/>
      <c r="Y43" s="245"/>
      <c r="Z43" s="246"/>
      <c r="AA43" s="247" t="b">
        <f t="shared" si="8"/>
        <v>0</v>
      </c>
      <c r="AB43" s="243"/>
      <c r="AC43" s="247"/>
      <c r="AD43" s="243"/>
      <c r="AE43" s="245"/>
      <c r="AF43" s="245"/>
      <c r="AG43" s="245"/>
      <c r="AH43" s="246"/>
      <c r="AI43" s="247" t="b">
        <f t="shared" si="9"/>
        <v>0</v>
      </c>
      <c r="AJ43" s="243"/>
      <c r="AK43" s="247"/>
      <c r="AL43" s="243"/>
      <c r="AM43" s="245"/>
      <c r="AN43" s="245"/>
      <c r="AO43" s="245"/>
      <c r="AP43" s="246"/>
      <c r="AR43" s="248"/>
      <c r="AS43" s="162"/>
    </row>
    <row r="44" spans="2:45" ht="33.75" customHeight="1" x14ac:dyDescent="0.25">
      <c r="B44" s="152"/>
      <c r="C44" s="153">
        <f>RiskList!A38</f>
        <v>0</v>
      </c>
      <c r="D44" s="154">
        <f>RiskList!B38</f>
        <v>0</v>
      </c>
      <c r="E44" t="b">
        <f t="shared" si="5"/>
        <v>0</v>
      </c>
      <c r="F44" s="243"/>
      <c r="G44" s="244"/>
      <c r="H44" s="243"/>
      <c r="I44" s="245"/>
      <c r="J44" s="245"/>
      <c r="K44" s="246"/>
      <c r="L44" s="247" t="b">
        <f t="shared" si="6"/>
        <v>0</v>
      </c>
      <c r="M44" s="243"/>
      <c r="N44" s="247"/>
      <c r="O44" s="243"/>
      <c r="P44" s="245"/>
      <c r="Q44" s="245"/>
      <c r="R44" s="246"/>
      <c r="S44" s="247" t="b">
        <f t="shared" si="7"/>
        <v>0</v>
      </c>
      <c r="T44" s="243"/>
      <c r="U44" s="247"/>
      <c r="V44" s="243"/>
      <c r="W44" s="245"/>
      <c r="X44" s="245"/>
      <c r="Y44" s="245"/>
      <c r="Z44" s="246"/>
      <c r="AA44" s="247" t="b">
        <f t="shared" si="8"/>
        <v>0</v>
      </c>
      <c r="AB44" s="243"/>
      <c r="AC44" s="247"/>
      <c r="AD44" s="243"/>
      <c r="AE44" s="245"/>
      <c r="AF44" s="245"/>
      <c r="AG44" s="245"/>
      <c r="AH44" s="246"/>
      <c r="AI44" s="247" t="b">
        <f t="shared" si="9"/>
        <v>0</v>
      </c>
      <c r="AJ44" s="243"/>
      <c r="AK44" s="247"/>
      <c r="AL44" s="243"/>
      <c r="AM44" s="245"/>
      <c r="AN44" s="245"/>
      <c r="AO44" s="245"/>
      <c r="AP44" s="246"/>
      <c r="AR44" s="248"/>
      <c r="AS44" s="162"/>
    </row>
    <row r="45" spans="2:45" ht="33.75" customHeight="1" x14ac:dyDescent="0.25">
      <c r="B45" s="152"/>
      <c r="C45" s="153">
        <f>RiskList!A39</f>
        <v>0</v>
      </c>
      <c r="D45" s="154">
        <f>RiskList!B39</f>
        <v>0</v>
      </c>
      <c r="E45" t="b">
        <f t="shared" si="5"/>
        <v>0</v>
      </c>
      <c r="F45" s="243"/>
      <c r="G45" s="244"/>
      <c r="H45" s="243"/>
      <c r="I45" s="245"/>
      <c r="J45" s="245"/>
      <c r="K45" s="246"/>
      <c r="L45" s="247" t="b">
        <f t="shared" si="6"/>
        <v>0</v>
      </c>
      <c r="M45" s="243"/>
      <c r="N45" s="247"/>
      <c r="O45" s="243"/>
      <c r="P45" s="245"/>
      <c r="Q45" s="245"/>
      <c r="R45" s="246"/>
      <c r="S45" s="247" t="b">
        <f t="shared" si="7"/>
        <v>0</v>
      </c>
      <c r="T45" s="243"/>
      <c r="U45" s="247"/>
      <c r="V45" s="243"/>
      <c r="W45" s="245"/>
      <c r="X45" s="245"/>
      <c r="Y45" s="245"/>
      <c r="Z45" s="246"/>
      <c r="AA45" s="247" t="b">
        <f t="shared" si="8"/>
        <v>0</v>
      </c>
      <c r="AB45" s="243"/>
      <c r="AC45" s="247"/>
      <c r="AD45" s="243"/>
      <c r="AE45" s="245"/>
      <c r="AF45" s="245"/>
      <c r="AG45" s="245"/>
      <c r="AH45" s="246"/>
      <c r="AI45" s="247" t="b">
        <f t="shared" si="9"/>
        <v>0</v>
      </c>
      <c r="AJ45" s="243"/>
      <c r="AK45" s="247"/>
      <c r="AL45" s="243"/>
      <c r="AM45" s="245"/>
      <c r="AN45" s="245"/>
      <c r="AO45" s="245"/>
      <c r="AP45" s="246"/>
      <c r="AR45" s="248"/>
      <c r="AS45" s="162"/>
    </row>
    <row r="46" spans="2:45" ht="33.75" customHeight="1" x14ac:dyDescent="0.25">
      <c r="B46" s="152"/>
      <c r="C46" s="153">
        <f>RiskList!A40</f>
        <v>0</v>
      </c>
      <c r="D46" s="154">
        <f>RiskList!B40</f>
        <v>0</v>
      </c>
      <c r="E46" t="b">
        <f t="shared" si="5"/>
        <v>0</v>
      </c>
      <c r="F46" s="243"/>
      <c r="G46" s="244"/>
      <c r="H46" s="243"/>
      <c r="I46" s="245"/>
      <c r="J46" s="245"/>
      <c r="K46" s="246"/>
      <c r="L46" s="247" t="b">
        <f t="shared" si="6"/>
        <v>0</v>
      </c>
      <c r="M46" s="243"/>
      <c r="N46" s="247"/>
      <c r="O46" s="243"/>
      <c r="P46" s="245"/>
      <c r="Q46" s="245"/>
      <c r="R46" s="246"/>
      <c r="S46" s="247" t="b">
        <f t="shared" si="7"/>
        <v>0</v>
      </c>
      <c r="T46" s="243"/>
      <c r="U46" s="247"/>
      <c r="V46" s="243"/>
      <c r="W46" s="245"/>
      <c r="X46" s="245"/>
      <c r="Y46" s="245"/>
      <c r="Z46" s="246"/>
      <c r="AA46" s="247" t="b">
        <f t="shared" si="8"/>
        <v>0</v>
      </c>
      <c r="AB46" s="243"/>
      <c r="AC46" s="247"/>
      <c r="AD46" s="243"/>
      <c r="AE46" s="245"/>
      <c r="AF46" s="245"/>
      <c r="AG46" s="245"/>
      <c r="AH46" s="246"/>
      <c r="AI46" s="247" t="b">
        <f t="shared" si="9"/>
        <v>0</v>
      </c>
      <c r="AJ46" s="243"/>
      <c r="AK46" s="247"/>
      <c r="AL46" s="243"/>
      <c r="AM46" s="245"/>
      <c r="AN46" s="245"/>
      <c r="AO46" s="245"/>
      <c r="AP46" s="246"/>
      <c r="AR46" s="248"/>
      <c r="AS46" s="162"/>
    </row>
    <row r="47" spans="2:45" ht="33.75" customHeight="1" x14ac:dyDescent="0.25">
      <c r="B47" s="152"/>
      <c r="C47" s="153">
        <f>RiskList!A41</f>
        <v>0</v>
      </c>
      <c r="D47" s="154">
        <f>RiskList!B41</f>
        <v>0</v>
      </c>
      <c r="E47" t="b">
        <f t="shared" si="5"/>
        <v>0</v>
      </c>
      <c r="F47" s="243"/>
      <c r="G47" s="244"/>
      <c r="H47" s="243"/>
      <c r="I47" s="245"/>
      <c r="J47" s="245"/>
      <c r="K47" s="246"/>
      <c r="L47" s="247" t="b">
        <f t="shared" si="6"/>
        <v>0</v>
      </c>
      <c r="M47" s="243"/>
      <c r="N47" s="247"/>
      <c r="O47" s="243"/>
      <c r="P47" s="245"/>
      <c r="Q47" s="245"/>
      <c r="R47" s="246"/>
      <c r="S47" s="247" t="b">
        <f t="shared" si="7"/>
        <v>0</v>
      </c>
      <c r="T47" s="243"/>
      <c r="U47" s="247"/>
      <c r="V47" s="243"/>
      <c r="W47" s="245"/>
      <c r="X47" s="245"/>
      <c r="Y47" s="245"/>
      <c r="Z47" s="246"/>
      <c r="AA47" s="247" t="b">
        <f t="shared" si="8"/>
        <v>0</v>
      </c>
      <c r="AB47" s="243"/>
      <c r="AC47" s="247"/>
      <c r="AD47" s="243"/>
      <c r="AE47" s="245"/>
      <c r="AF47" s="245"/>
      <c r="AG47" s="245"/>
      <c r="AH47" s="246"/>
      <c r="AI47" s="247" t="b">
        <f t="shared" si="9"/>
        <v>0</v>
      </c>
      <c r="AJ47" s="243"/>
      <c r="AK47" s="247"/>
      <c r="AL47" s="243"/>
      <c r="AM47" s="245"/>
      <c r="AN47" s="245"/>
      <c r="AO47" s="245"/>
      <c r="AP47" s="246"/>
      <c r="AR47" s="248"/>
      <c r="AS47" s="162"/>
    </row>
    <row r="48" spans="2:45" ht="33.75" customHeight="1" x14ac:dyDescent="0.25">
      <c r="B48" s="152"/>
      <c r="C48" s="153">
        <f>RiskList!A42</f>
        <v>0</v>
      </c>
      <c r="D48" s="154">
        <f>RiskList!B42</f>
        <v>0</v>
      </c>
      <c r="E48" t="b">
        <f t="shared" si="5"/>
        <v>0</v>
      </c>
      <c r="F48" s="243"/>
      <c r="G48" s="244"/>
      <c r="H48" s="243"/>
      <c r="I48" s="245"/>
      <c r="J48" s="245"/>
      <c r="K48" s="246"/>
      <c r="L48" s="247" t="b">
        <f t="shared" si="6"/>
        <v>0</v>
      </c>
      <c r="M48" s="243"/>
      <c r="N48" s="247"/>
      <c r="O48" s="243"/>
      <c r="P48" s="245"/>
      <c r="Q48" s="245"/>
      <c r="R48" s="246"/>
      <c r="S48" s="247" t="b">
        <f t="shared" si="7"/>
        <v>0</v>
      </c>
      <c r="T48" s="243"/>
      <c r="U48" s="247"/>
      <c r="V48" s="243"/>
      <c r="W48" s="245"/>
      <c r="X48" s="245"/>
      <c r="Y48" s="245"/>
      <c r="Z48" s="246"/>
      <c r="AA48" s="247" t="b">
        <f t="shared" si="8"/>
        <v>0</v>
      </c>
      <c r="AB48" s="243"/>
      <c r="AC48" s="247"/>
      <c r="AD48" s="243"/>
      <c r="AE48" s="245"/>
      <c r="AF48" s="245"/>
      <c r="AG48" s="245"/>
      <c r="AH48" s="246"/>
      <c r="AI48" s="247" t="b">
        <f t="shared" si="9"/>
        <v>0</v>
      </c>
      <c r="AJ48" s="243"/>
      <c r="AK48" s="247"/>
      <c r="AL48" s="243"/>
      <c r="AM48" s="245"/>
      <c r="AN48" s="245"/>
      <c r="AO48" s="245"/>
      <c r="AP48" s="246"/>
      <c r="AR48" s="248"/>
      <c r="AS48" s="162"/>
    </row>
    <row r="49" spans="2:45" ht="33.75" customHeight="1" x14ac:dyDescent="0.25">
      <c r="B49" s="152"/>
      <c r="C49" s="153">
        <f>RiskList!A43</f>
        <v>0</v>
      </c>
      <c r="D49" s="154">
        <f>RiskList!B43</f>
        <v>0</v>
      </c>
      <c r="E49" t="b">
        <f t="shared" si="5"/>
        <v>0</v>
      </c>
      <c r="F49" s="243"/>
      <c r="G49" s="244"/>
      <c r="H49" s="243"/>
      <c r="I49" s="245"/>
      <c r="J49" s="245"/>
      <c r="K49" s="246"/>
      <c r="L49" s="247" t="b">
        <f t="shared" si="6"/>
        <v>0</v>
      </c>
      <c r="M49" s="243"/>
      <c r="N49" s="247"/>
      <c r="O49" s="243"/>
      <c r="P49" s="245"/>
      <c r="Q49" s="245"/>
      <c r="R49" s="246"/>
      <c r="S49" s="247" t="b">
        <f t="shared" si="7"/>
        <v>0</v>
      </c>
      <c r="T49" s="243"/>
      <c r="U49" s="247"/>
      <c r="V49" s="243"/>
      <c r="W49" s="245"/>
      <c r="X49" s="245"/>
      <c r="Y49" s="245"/>
      <c r="Z49" s="246"/>
      <c r="AA49" s="247" t="b">
        <f t="shared" si="8"/>
        <v>0</v>
      </c>
      <c r="AB49" s="243"/>
      <c r="AC49" s="247"/>
      <c r="AD49" s="243"/>
      <c r="AE49" s="245"/>
      <c r="AF49" s="245"/>
      <c r="AG49" s="245"/>
      <c r="AH49" s="246"/>
      <c r="AI49" s="247" t="b">
        <f t="shared" si="9"/>
        <v>0</v>
      </c>
      <c r="AJ49" s="243"/>
      <c r="AK49" s="247"/>
      <c r="AL49" s="243"/>
      <c r="AM49" s="245"/>
      <c r="AN49" s="245"/>
      <c r="AO49" s="245"/>
      <c r="AP49" s="246"/>
      <c r="AR49" s="248"/>
      <c r="AS49" s="162"/>
    </row>
    <row r="50" spans="2:45" ht="33.75" customHeight="1" x14ac:dyDescent="0.25">
      <c r="B50" s="152"/>
      <c r="C50" s="153">
        <f>RiskList!A44</f>
        <v>0</v>
      </c>
      <c r="D50" s="154">
        <f>RiskList!B44</f>
        <v>0</v>
      </c>
      <c r="E50" t="b">
        <f t="shared" si="5"/>
        <v>0</v>
      </c>
      <c r="F50" s="243"/>
      <c r="G50" s="244"/>
      <c r="H50" s="243"/>
      <c r="I50" s="245"/>
      <c r="J50" s="245"/>
      <c r="K50" s="246"/>
      <c r="L50" s="247" t="b">
        <f t="shared" si="6"/>
        <v>0</v>
      </c>
      <c r="M50" s="243"/>
      <c r="N50" s="247"/>
      <c r="O50" s="243"/>
      <c r="P50" s="245"/>
      <c r="Q50" s="245"/>
      <c r="R50" s="246"/>
      <c r="S50" s="247" t="b">
        <f t="shared" si="7"/>
        <v>0</v>
      </c>
      <c r="T50" s="243"/>
      <c r="U50" s="247"/>
      <c r="V50" s="243"/>
      <c r="W50" s="245"/>
      <c r="X50" s="245"/>
      <c r="Y50" s="245"/>
      <c r="Z50" s="246"/>
      <c r="AA50" s="247" t="b">
        <f t="shared" si="8"/>
        <v>0</v>
      </c>
      <c r="AB50" s="243"/>
      <c r="AC50" s="247"/>
      <c r="AD50" s="243"/>
      <c r="AE50" s="245"/>
      <c r="AF50" s="245"/>
      <c r="AG50" s="245"/>
      <c r="AH50" s="246"/>
      <c r="AI50" s="247" t="b">
        <f t="shared" si="9"/>
        <v>0</v>
      </c>
      <c r="AJ50" s="243"/>
      <c r="AK50" s="247"/>
      <c r="AL50" s="243"/>
      <c r="AM50" s="245"/>
      <c r="AN50" s="245"/>
      <c r="AO50" s="245"/>
      <c r="AP50" s="246"/>
      <c r="AR50" s="248"/>
      <c r="AS50" s="162"/>
    </row>
    <row r="51" spans="2:45" ht="33.75" customHeight="1" x14ac:dyDescent="0.25">
      <c r="B51" s="152"/>
      <c r="C51" s="153">
        <f>RiskList!A45</f>
        <v>0</v>
      </c>
      <c r="D51" s="154">
        <f>RiskList!B45</f>
        <v>0</v>
      </c>
      <c r="E51" t="b">
        <f t="shared" si="5"/>
        <v>0</v>
      </c>
      <c r="F51" s="243"/>
      <c r="G51" s="244"/>
      <c r="H51" s="243"/>
      <c r="I51" s="245"/>
      <c r="J51" s="245"/>
      <c r="K51" s="246"/>
      <c r="L51" s="247" t="b">
        <f t="shared" si="6"/>
        <v>0</v>
      </c>
      <c r="M51" s="243"/>
      <c r="N51" s="247"/>
      <c r="O51" s="243"/>
      <c r="P51" s="245"/>
      <c r="Q51" s="245"/>
      <c r="R51" s="246"/>
      <c r="S51" s="247" t="b">
        <f t="shared" si="7"/>
        <v>0</v>
      </c>
      <c r="T51" s="243"/>
      <c r="U51" s="247"/>
      <c r="V51" s="243"/>
      <c r="W51" s="245"/>
      <c r="X51" s="245"/>
      <c r="Y51" s="245"/>
      <c r="Z51" s="246"/>
      <c r="AA51" s="247" t="b">
        <f t="shared" si="8"/>
        <v>0</v>
      </c>
      <c r="AB51" s="243"/>
      <c r="AC51" s="247"/>
      <c r="AD51" s="243"/>
      <c r="AE51" s="245"/>
      <c r="AF51" s="245"/>
      <c r="AG51" s="245"/>
      <c r="AH51" s="246"/>
      <c r="AI51" s="247" t="b">
        <f t="shared" si="9"/>
        <v>0</v>
      </c>
      <c r="AJ51" s="243"/>
      <c r="AK51" s="247"/>
      <c r="AL51" s="243"/>
      <c r="AM51" s="245"/>
      <c r="AN51" s="245"/>
      <c r="AO51" s="245"/>
      <c r="AP51" s="246"/>
      <c r="AR51" s="248"/>
      <c r="AS51" s="162"/>
    </row>
    <row r="52" spans="2:45" ht="33.75" customHeight="1" x14ac:dyDescent="0.25">
      <c r="B52" s="152"/>
      <c r="C52" s="153">
        <f>RiskList!A46</f>
        <v>0</v>
      </c>
      <c r="D52" s="154">
        <f>RiskList!B46</f>
        <v>0</v>
      </c>
      <c r="E52" t="b">
        <f t="shared" si="5"/>
        <v>0</v>
      </c>
      <c r="F52" s="243"/>
      <c r="G52" s="244"/>
      <c r="H52" s="243"/>
      <c r="I52" s="245"/>
      <c r="J52" s="245"/>
      <c r="K52" s="246"/>
      <c r="L52" s="247" t="b">
        <f t="shared" si="6"/>
        <v>0</v>
      </c>
      <c r="M52" s="243"/>
      <c r="N52" s="247"/>
      <c r="O52" s="243"/>
      <c r="P52" s="245"/>
      <c r="Q52" s="245"/>
      <c r="R52" s="246"/>
      <c r="S52" s="247" t="b">
        <f t="shared" si="7"/>
        <v>0</v>
      </c>
      <c r="T52" s="243"/>
      <c r="U52" s="247"/>
      <c r="V52" s="243"/>
      <c r="W52" s="245"/>
      <c r="X52" s="245"/>
      <c r="Y52" s="245"/>
      <c r="Z52" s="246"/>
      <c r="AA52" s="247" t="b">
        <f t="shared" si="8"/>
        <v>0</v>
      </c>
      <c r="AB52" s="243"/>
      <c r="AC52" s="247"/>
      <c r="AD52" s="243"/>
      <c r="AE52" s="245"/>
      <c r="AF52" s="245"/>
      <c r="AG52" s="245"/>
      <c r="AH52" s="246"/>
      <c r="AI52" s="247" t="b">
        <f t="shared" si="9"/>
        <v>0</v>
      </c>
      <c r="AJ52" s="243"/>
      <c r="AK52" s="247"/>
      <c r="AL52" s="243"/>
      <c r="AM52" s="245"/>
      <c r="AN52" s="245"/>
      <c r="AO52" s="245"/>
      <c r="AP52" s="246"/>
      <c r="AR52" s="248"/>
      <c r="AS52" s="162"/>
    </row>
    <row r="53" spans="2:45" ht="33.75" customHeight="1" x14ac:dyDescent="0.25">
      <c r="B53" s="152"/>
      <c r="C53" s="153">
        <f>RiskList!A47</f>
        <v>0</v>
      </c>
      <c r="D53" s="154">
        <f>RiskList!B47</f>
        <v>0</v>
      </c>
      <c r="E53" t="b">
        <f t="shared" si="5"/>
        <v>0</v>
      </c>
      <c r="F53" s="243"/>
      <c r="G53" s="244"/>
      <c r="H53" s="243"/>
      <c r="I53" s="245"/>
      <c r="J53" s="245"/>
      <c r="K53" s="246"/>
      <c r="L53" s="247" t="b">
        <f t="shared" si="6"/>
        <v>0</v>
      </c>
      <c r="M53" s="243"/>
      <c r="N53" s="247"/>
      <c r="O53" s="243"/>
      <c r="P53" s="245"/>
      <c r="Q53" s="245"/>
      <c r="R53" s="246"/>
      <c r="S53" s="247" t="b">
        <f t="shared" si="7"/>
        <v>0</v>
      </c>
      <c r="T53" s="243"/>
      <c r="U53" s="247"/>
      <c r="V53" s="243"/>
      <c r="W53" s="245"/>
      <c r="X53" s="245"/>
      <c r="Y53" s="245"/>
      <c r="Z53" s="246"/>
      <c r="AA53" s="247" t="b">
        <f t="shared" si="8"/>
        <v>0</v>
      </c>
      <c r="AB53" s="243"/>
      <c r="AC53" s="247"/>
      <c r="AD53" s="243"/>
      <c r="AE53" s="245"/>
      <c r="AF53" s="245"/>
      <c r="AG53" s="245"/>
      <c r="AH53" s="246"/>
      <c r="AI53" s="247" t="b">
        <f t="shared" si="9"/>
        <v>0</v>
      </c>
      <c r="AJ53" s="243"/>
      <c r="AK53" s="247"/>
      <c r="AL53" s="243"/>
      <c r="AM53" s="245"/>
      <c r="AN53" s="245"/>
      <c r="AO53" s="245"/>
      <c r="AP53" s="246"/>
      <c r="AR53" s="248"/>
      <c r="AS53" s="162"/>
    </row>
    <row r="54" spans="2:45" ht="33.75" customHeight="1" x14ac:dyDescent="0.25">
      <c r="B54" s="152"/>
      <c r="C54" s="153">
        <f>RiskList!A48</f>
        <v>0</v>
      </c>
      <c r="D54" s="154">
        <f>RiskList!B48</f>
        <v>0</v>
      </c>
      <c r="E54" t="b">
        <f t="shared" si="5"/>
        <v>0</v>
      </c>
      <c r="F54" s="243"/>
      <c r="G54" s="244"/>
      <c r="H54" s="243"/>
      <c r="I54" s="245"/>
      <c r="J54" s="245"/>
      <c r="K54" s="246"/>
      <c r="L54" s="247" t="b">
        <f t="shared" si="6"/>
        <v>0</v>
      </c>
      <c r="M54" s="243"/>
      <c r="N54" s="247"/>
      <c r="O54" s="243"/>
      <c r="P54" s="245"/>
      <c r="Q54" s="245"/>
      <c r="R54" s="246"/>
      <c r="S54" s="247" t="b">
        <f t="shared" si="7"/>
        <v>0</v>
      </c>
      <c r="T54" s="243"/>
      <c r="U54" s="247"/>
      <c r="V54" s="243"/>
      <c r="W54" s="245"/>
      <c r="X54" s="245"/>
      <c r="Y54" s="245"/>
      <c r="Z54" s="246"/>
      <c r="AA54" s="247" t="b">
        <f t="shared" si="8"/>
        <v>0</v>
      </c>
      <c r="AB54" s="243"/>
      <c r="AC54" s="247"/>
      <c r="AD54" s="243"/>
      <c r="AE54" s="245"/>
      <c r="AF54" s="245"/>
      <c r="AG54" s="245"/>
      <c r="AH54" s="246"/>
      <c r="AI54" s="247" t="b">
        <f t="shared" si="9"/>
        <v>0</v>
      </c>
      <c r="AJ54" s="243"/>
      <c r="AK54" s="247"/>
      <c r="AL54" s="243"/>
      <c r="AM54" s="245"/>
      <c r="AN54" s="245"/>
      <c r="AO54" s="245"/>
      <c r="AP54" s="246"/>
      <c r="AR54" s="248"/>
      <c r="AS54" s="162"/>
    </row>
    <row r="55" spans="2:45" ht="33.75" customHeight="1" x14ac:dyDescent="0.25">
      <c r="B55" s="152"/>
      <c r="C55" s="153">
        <f>RiskList!A49</f>
        <v>0</v>
      </c>
      <c r="D55" s="154">
        <f>RiskList!B49</f>
        <v>0</v>
      </c>
      <c r="E55" t="b">
        <f t="shared" si="5"/>
        <v>0</v>
      </c>
      <c r="F55" s="243"/>
      <c r="G55" s="244"/>
      <c r="H55" s="243"/>
      <c r="I55" s="245"/>
      <c r="J55" s="245"/>
      <c r="K55" s="246"/>
      <c r="L55" s="247" t="b">
        <f t="shared" si="6"/>
        <v>0</v>
      </c>
      <c r="M55" s="243"/>
      <c r="N55" s="247"/>
      <c r="O55" s="243"/>
      <c r="P55" s="245"/>
      <c r="Q55" s="245"/>
      <c r="R55" s="246"/>
      <c r="S55" s="247" t="b">
        <f t="shared" si="7"/>
        <v>0</v>
      </c>
      <c r="T55" s="243"/>
      <c r="U55" s="247"/>
      <c r="V55" s="243"/>
      <c r="W55" s="245"/>
      <c r="X55" s="245"/>
      <c r="Y55" s="245"/>
      <c r="Z55" s="246"/>
      <c r="AA55" s="247" t="b">
        <f t="shared" si="8"/>
        <v>0</v>
      </c>
      <c r="AB55" s="243"/>
      <c r="AC55" s="247"/>
      <c r="AD55" s="243"/>
      <c r="AE55" s="245"/>
      <c r="AF55" s="245"/>
      <c r="AG55" s="245"/>
      <c r="AH55" s="246"/>
      <c r="AI55" s="247" t="b">
        <f t="shared" si="9"/>
        <v>0</v>
      </c>
      <c r="AJ55" s="243"/>
      <c r="AK55" s="247"/>
      <c r="AL55" s="243"/>
      <c r="AM55" s="245"/>
      <c r="AN55" s="245"/>
      <c r="AO55" s="245"/>
      <c r="AP55" s="246"/>
      <c r="AR55" s="248"/>
      <c r="AS55" s="162"/>
    </row>
    <row r="56" spans="2:45" ht="33.75" customHeight="1" x14ac:dyDescent="0.25">
      <c r="B56" s="152"/>
      <c r="C56" s="153">
        <f>RiskList!A50</f>
        <v>0</v>
      </c>
      <c r="D56" s="154">
        <f>RiskList!B50</f>
        <v>0</v>
      </c>
      <c r="E56" t="b">
        <f t="shared" si="5"/>
        <v>0</v>
      </c>
      <c r="F56" s="243"/>
      <c r="G56" s="244"/>
      <c r="H56" s="243"/>
      <c r="I56" s="245"/>
      <c r="J56" s="245"/>
      <c r="K56" s="246"/>
      <c r="L56" s="247" t="b">
        <f t="shared" si="6"/>
        <v>0</v>
      </c>
      <c r="M56" s="243"/>
      <c r="N56" s="247"/>
      <c r="O56" s="243"/>
      <c r="P56" s="245"/>
      <c r="Q56" s="245"/>
      <c r="R56" s="246"/>
      <c r="S56" s="247" t="b">
        <f t="shared" si="7"/>
        <v>0</v>
      </c>
      <c r="T56" s="243"/>
      <c r="U56" s="247"/>
      <c r="V56" s="243"/>
      <c r="W56" s="245"/>
      <c r="X56" s="245"/>
      <c r="Y56" s="245"/>
      <c r="Z56" s="246"/>
      <c r="AA56" s="247" t="b">
        <f t="shared" si="8"/>
        <v>0</v>
      </c>
      <c r="AB56" s="243"/>
      <c r="AC56" s="247"/>
      <c r="AD56" s="243"/>
      <c r="AE56" s="245"/>
      <c r="AF56" s="245"/>
      <c r="AG56" s="245"/>
      <c r="AH56" s="246"/>
      <c r="AI56" s="247" t="b">
        <f t="shared" si="9"/>
        <v>0</v>
      </c>
      <c r="AJ56" s="243"/>
      <c r="AK56" s="247"/>
      <c r="AL56" s="243"/>
      <c r="AM56" s="245"/>
      <c r="AN56" s="245"/>
      <c r="AO56" s="245"/>
      <c r="AP56" s="246"/>
      <c r="AR56" s="248"/>
      <c r="AS56" s="162"/>
    </row>
    <row r="57" spans="2:45" ht="33.75" customHeight="1" x14ac:dyDescent="0.25">
      <c r="B57" s="152"/>
      <c r="C57" s="153">
        <f>RiskList!A51</f>
        <v>0</v>
      </c>
      <c r="D57" s="154">
        <f>RiskList!B51</f>
        <v>0</v>
      </c>
      <c r="E57" t="b">
        <f t="shared" si="5"/>
        <v>0</v>
      </c>
      <c r="F57" s="243"/>
      <c r="G57" s="244"/>
      <c r="H57" s="243"/>
      <c r="I57" s="245"/>
      <c r="J57" s="245"/>
      <c r="K57" s="246"/>
      <c r="L57" s="247" t="b">
        <f t="shared" si="6"/>
        <v>0</v>
      </c>
      <c r="M57" s="243"/>
      <c r="N57" s="247"/>
      <c r="O57" s="243"/>
      <c r="P57" s="245"/>
      <c r="Q57" s="245"/>
      <c r="R57" s="246"/>
      <c r="S57" s="247" t="b">
        <f t="shared" si="7"/>
        <v>0</v>
      </c>
      <c r="T57" s="243"/>
      <c r="U57" s="247"/>
      <c r="V57" s="243"/>
      <c r="W57" s="245"/>
      <c r="X57" s="245"/>
      <c r="Y57" s="245"/>
      <c r="Z57" s="246"/>
      <c r="AA57" s="247" t="b">
        <f t="shared" si="8"/>
        <v>0</v>
      </c>
      <c r="AB57" s="243"/>
      <c r="AC57" s="247"/>
      <c r="AD57" s="243"/>
      <c r="AE57" s="245"/>
      <c r="AF57" s="245"/>
      <c r="AG57" s="245"/>
      <c r="AH57" s="246"/>
      <c r="AI57" s="247" t="b">
        <f t="shared" si="9"/>
        <v>0</v>
      </c>
      <c r="AJ57" s="243"/>
      <c r="AK57" s="247"/>
      <c r="AL57" s="243"/>
      <c r="AM57" s="245"/>
      <c r="AN57" s="245"/>
      <c r="AO57" s="245"/>
      <c r="AP57" s="246"/>
      <c r="AR57" s="248"/>
      <c r="AS57" s="162"/>
    </row>
    <row r="58" spans="2:45" ht="33.75" customHeight="1" x14ac:dyDescent="0.25">
      <c r="B58" s="152"/>
      <c r="C58" s="166">
        <f>RiskList!A52</f>
        <v>0</v>
      </c>
      <c r="D58" s="124">
        <f ca="1">COUNTIF(D8:D57,"&lt;&gt;0")</f>
        <v>34</v>
      </c>
      <c r="AS58" s="162"/>
    </row>
    <row r="59" spans="2:45" ht="33.75" customHeight="1" x14ac:dyDescent="0.25">
      <c r="B59" s="35"/>
      <c r="C59" s="419"/>
      <c r="D59" s="419"/>
      <c r="E59" s="419"/>
      <c r="F59" s="419"/>
      <c r="G59" s="419"/>
      <c r="H59" s="419"/>
      <c r="I59" s="419"/>
      <c r="J59" s="419"/>
      <c r="K59" s="419"/>
      <c r="L59" s="419"/>
      <c r="M59" s="419"/>
      <c r="N59" s="419"/>
      <c r="O59" s="419"/>
      <c r="P59" s="419"/>
      <c r="Q59" s="419"/>
      <c r="R59" s="419"/>
      <c r="S59" s="419"/>
      <c r="T59" s="419"/>
      <c r="U59" s="419"/>
      <c r="V59" s="419"/>
      <c r="W59" s="419"/>
      <c r="X59" s="419"/>
      <c r="Y59" s="419"/>
      <c r="Z59" s="419"/>
      <c r="AA59" s="419"/>
      <c r="AB59" s="419"/>
      <c r="AC59" s="419"/>
      <c r="AD59" s="419"/>
      <c r="AE59" s="419"/>
      <c r="AF59" s="419"/>
      <c r="AG59" s="419"/>
      <c r="AH59" s="419"/>
      <c r="AI59" s="419"/>
      <c r="AJ59" s="419"/>
      <c r="AK59" s="419"/>
      <c r="AL59" s="419"/>
      <c r="AM59" s="419"/>
      <c r="AN59" s="419"/>
      <c r="AO59" s="419"/>
      <c r="AP59" s="419"/>
      <c r="AQ59" s="140"/>
      <c r="AR59" s="140"/>
      <c r="AS59" s="38"/>
    </row>
    <row r="60" spans="2:45" ht="33.75" customHeight="1" x14ac:dyDescent="0.25"/>
    <row r="61" spans="2:45" ht="33.75" customHeight="1" x14ac:dyDescent="0.25"/>
  </sheetData>
  <mergeCells count="9">
    <mergeCell ref="AA6:AH6"/>
    <mergeCell ref="AI6:AP6"/>
    <mergeCell ref="AR6:AR7"/>
    <mergeCell ref="C59:AP59"/>
    <mergeCell ref="C6:C7"/>
    <mergeCell ref="D6:D7"/>
    <mergeCell ref="E6:K6"/>
    <mergeCell ref="L6:R6"/>
    <mergeCell ref="S6:Z6"/>
  </mergeCells>
  <dataValidations count="1">
    <dataValidation type="list" allowBlank="1" sqref="F8:F57 H8:K57 M8:M57 O8:R57 T8:T57 V8:Z57 AB8:AB57 AD8:AH57 AJ8:AJ57 AL8:AP57 AR8:AR57" xr:uid="{00000000-0002-0000-0C00-000000000000}">
      <formula1>"0,1"</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CL59"/>
  <sheetViews>
    <sheetView tabSelected="1" topLeftCell="A11" zoomScaleNormal="100" workbookViewId="0">
      <selection activeCell="C14" sqref="C14"/>
    </sheetView>
  </sheetViews>
  <sheetFormatPr defaultColWidth="8.7109375" defaultRowHeight="15" x14ac:dyDescent="0.25"/>
  <cols>
    <col min="1" max="1" width="1.5703125" customWidth="1"/>
    <col min="3" max="3" width="9.140625" customWidth="1"/>
    <col min="4" max="4" width="30.5703125" customWidth="1"/>
    <col min="5" max="5" width="11" customWidth="1"/>
    <col min="17" max="17" width="11" customWidth="1"/>
    <col min="55" max="55" width="2.42578125" customWidth="1"/>
    <col min="57" max="57" width="1.5703125" customWidth="1"/>
    <col min="58" max="58" width="8" customWidth="1"/>
    <col min="74" max="74" width="1.7109375" customWidth="1"/>
    <col min="75" max="75" width="9.140625" customWidth="1"/>
  </cols>
  <sheetData>
    <row r="2" spans="1:90" ht="12.75" customHeight="1" x14ac:dyDescent="0.25">
      <c r="A2" s="104"/>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9"/>
      <c r="BD2" s="9"/>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row>
    <row r="3" spans="1:90" ht="36" customHeight="1" x14ac:dyDescent="0.25">
      <c r="A3" s="104"/>
      <c r="B3" s="10"/>
      <c r="C3" s="249" t="str">
        <f ca="1">IF(MAX(BC:BC)&gt;MAX(E58:BB58),INDEX(C:C,MATCH(MAX(BC:BC),BC:BC,0)),INDEX(E7:BB7,1,MATCH(MAX(E58:BB58),E58:BB58,0)))</f>
        <v>Company 101</v>
      </c>
      <c r="D3" s="144"/>
      <c r="E3" s="427" t="s">
        <v>675</v>
      </c>
      <c r="F3" s="427"/>
      <c r="G3" s="427"/>
      <c r="H3" s="427"/>
      <c r="I3" s="427"/>
      <c r="J3" s="427"/>
      <c r="K3" s="427"/>
      <c r="L3" s="427"/>
      <c r="M3" s="427"/>
      <c r="N3" s="427"/>
      <c r="O3" s="427"/>
      <c r="P3" s="427"/>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13"/>
      <c r="BD3" s="13"/>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row>
    <row r="4" spans="1:90" ht="4.5" customHeight="1" x14ac:dyDescent="0.25">
      <c r="A4" s="104"/>
      <c r="B4" s="10"/>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3"/>
      <c r="BD4" s="13"/>
      <c r="BE4" s="106"/>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row>
    <row r="5" spans="1:90" ht="4.5" customHeight="1" x14ac:dyDescent="0.25">
      <c r="A5" s="104"/>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3"/>
      <c r="BD5" s="13"/>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row>
    <row r="6" spans="1:90" ht="129" customHeight="1" x14ac:dyDescent="0.25">
      <c r="A6" s="104"/>
      <c r="B6" s="10"/>
      <c r="C6" s="428" t="s">
        <v>676</v>
      </c>
      <c r="D6" s="428"/>
      <c r="E6" s="251" t="str">
        <f t="shared" ref="E6:AJ6" ca="1" si="0">INDIRECT("d"&amp;COLUMN()+3)</f>
        <v/>
      </c>
      <c r="F6" s="251" t="str">
        <f t="shared" ca="1" si="0"/>
        <v/>
      </c>
      <c r="G6" s="251" t="str">
        <f t="shared" ca="1" si="0"/>
        <v/>
      </c>
      <c r="H6" s="251" t="str">
        <f t="shared" ca="1" si="0"/>
        <v/>
      </c>
      <c r="I6" s="251" t="str">
        <f t="shared" ca="1" si="0"/>
        <v/>
      </c>
      <c r="J6" s="251" t="str">
        <f t="shared" ca="1" si="0"/>
        <v/>
      </c>
      <c r="K6" s="251" t="str">
        <f t="shared" ca="1" si="0"/>
        <v/>
      </c>
      <c r="L6" s="251" t="str">
        <f t="shared" ca="1" si="0"/>
        <v/>
      </c>
      <c r="M6" s="251" t="str">
        <f t="shared" ca="1" si="0"/>
        <v/>
      </c>
      <c r="N6" s="251" t="str">
        <f t="shared" ca="1" si="0"/>
        <v/>
      </c>
      <c r="O6" s="251" t="str">
        <f t="shared" ca="1" si="0"/>
        <v/>
      </c>
      <c r="P6" s="251" t="str">
        <f t="shared" ca="1" si="0"/>
        <v/>
      </c>
      <c r="Q6" s="251" t="str">
        <f t="shared" ca="1" si="0"/>
        <v/>
      </c>
      <c r="R6" s="251" t="str">
        <f t="shared" ca="1" si="0"/>
        <v/>
      </c>
      <c r="S6" s="251" t="str">
        <f t="shared" ca="1" si="0"/>
        <v/>
      </c>
      <c r="T6" s="251" t="str">
        <f t="shared" ca="1" si="0"/>
        <v/>
      </c>
      <c r="U6" s="251" t="str">
        <f t="shared" ca="1" si="0"/>
        <v/>
      </c>
      <c r="V6" s="251" t="str">
        <f t="shared" ca="1" si="0"/>
        <v/>
      </c>
      <c r="W6" s="251" t="str">
        <f t="shared" ca="1" si="0"/>
        <v/>
      </c>
      <c r="X6" s="251" t="str">
        <f t="shared" ca="1" si="0"/>
        <v/>
      </c>
      <c r="Y6" s="251" t="str">
        <f t="shared" ca="1" si="0"/>
        <v/>
      </c>
      <c r="Z6" s="251" t="str">
        <f t="shared" ca="1" si="0"/>
        <v/>
      </c>
      <c r="AA6" s="251" t="str">
        <f t="shared" ca="1" si="0"/>
        <v/>
      </c>
      <c r="AB6" s="251" t="str">
        <f t="shared" ca="1" si="0"/>
        <v/>
      </c>
      <c r="AC6" s="251" t="str">
        <f t="shared" ca="1" si="0"/>
        <v/>
      </c>
      <c r="AD6" s="251" t="str">
        <f t="shared" ca="1" si="0"/>
        <v/>
      </c>
      <c r="AE6" s="251" t="str">
        <f t="shared" ca="1" si="0"/>
        <v/>
      </c>
      <c r="AF6" s="251" t="str">
        <f t="shared" ca="1" si="0"/>
        <v/>
      </c>
      <c r="AG6" s="251" t="str">
        <f t="shared" ca="1" si="0"/>
        <v/>
      </c>
      <c r="AH6" s="251" t="str">
        <f t="shared" ca="1" si="0"/>
        <v/>
      </c>
      <c r="AI6" s="251" t="str">
        <f t="shared" ca="1" si="0"/>
        <v/>
      </c>
      <c r="AJ6" s="251" t="str">
        <f t="shared" ca="1" si="0"/>
        <v/>
      </c>
      <c r="AK6" s="251" t="str">
        <f t="shared" ref="AK6:BB6" ca="1" si="1">INDIRECT("d"&amp;COLUMN()+3)</f>
        <v/>
      </c>
      <c r="AL6" s="251" t="str">
        <f t="shared" ca="1" si="1"/>
        <v/>
      </c>
      <c r="AM6" s="251" t="str">
        <f t="shared" ca="1" si="1"/>
        <v/>
      </c>
      <c r="AN6" s="251" t="str">
        <f t="shared" ca="1" si="1"/>
        <v/>
      </c>
      <c r="AO6" s="251" t="str">
        <f t="shared" ca="1" si="1"/>
        <v/>
      </c>
      <c r="AP6" s="251" t="str">
        <f t="shared" ca="1" si="1"/>
        <v/>
      </c>
      <c r="AQ6" s="251" t="str">
        <f t="shared" ca="1" si="1"/>
        <v/>
      </c>
      <c r="AR6" s="251" t="str">
        <f t="shared" ca="1" si="1"/>
        <v/>
      </c>
      <c r="AS6" s="251" t="str">
        <f t="shared" ca="1" si="1"/>
        <v/>
      </c>
      <c r="AT6" s="251" t="str">
        <f t="shared" ca="1" si="1"/>
        <v/>
      </c>
      <c r="AU6" s="251" t="str">
        <f t="shared" ca="1" si="1"/>
        <v/>
      </c>
      <c r="AV6" s="251" t="str">
        <f t="shared" ca="1" si="1"/>
        <v/>
      </c>
      <c r="AW6" s="251" t="str">
        <f t="shared" ca="1" si="1"/>
        <v/>
      </c>
      <c r="AX6" s="251" t="str">
        <f t="shared" ca="1" si="1"/>
        <v/>
      </c>
      <c r="AY6" s="251" t="str">
        <f t="shared" ca="1" si="1"/>
        <v/>
      </c>
      <c r="AZ6" s="251" t="str">
        <f t="shared" ca="1" si="1"/>
        <v/>
      </c>
      <c r="BA6" s="251" t="str">
        <f t="shared" ca="1" si="1"/>
        <v/>
      </c>
      <c r="BB6" s="251" t="str">
        <f t="shared" ca="1" si="1"/>
        <v/>
      </c>
      <c r="BC6" s="13"/>
      <c r="BD6" s="13"/>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row>
    <row r="7" spans="1:90" ht="45.75" customHeight="1" x14ac:dyDescent="0.25">
      <c r="A7" s="104"/>
      <c r="B7" s="10"/>
      <c r="C7" s="428"/>
      <c r="D7" s="428"/>
      <c r="E7" s="251" t="str">
        <f t="shared" ref="E7:AJ7" ca="1" si="2">INDIRECT("C"&amp;COLUMN()+3)</f>
        <v>Company 101</v>
      </c>
      <c r="F7" s="251" t="str">
        <f t="shared" ca="1" si="2"/>
        <v>Company 102</v>
      </c>
      <c r="G7" s="251" t="str">
        <f t="shared" ca="1" si="2"/>
        <v>Company 103</v>
      </c>
      <c r="H7" s="251" t="str">
        <f t="shared" ca="1" si="2"/>
        <v>Company 104</v>
      </c>
      <c r="I7" s="251" t="str">
        <f t="shared" ca="1" si="2"/>
        <v>Company 105</v>
      </c>
      <c r="J7" s="251" t="str">
        <f t="shared" ca="1" si="2"/>
        <v>Company 106</v>
      </c>
      <c r="K7" s="251" t="str">
        <f t="shared" ca="1" si="2"/>
        <v>Company 107</v>
      </c>
      <c r="L7" s="251" t="str">
        <f t="shared" ca="1" si="2"/>
        <v>Company 108</v>
      </c>
      <c r="M7" s="251" t="str">
        <f t="shared" ca="1" si="2"/>
        <v>Company 109</v>
      </c>
      <c r="N7" s="251" t="str">
        <f t="shared" ca="1" si="2"/>
        <v>Company 110</v>
      </c>
      <c r="O7" s="251" t="str">
        <f t="shared" ca="1" si="2"/>
        <v>Company 111</v>
      </c>
      <c r="P7" s="251" t="str">
        <f t="shared" ca="1" si="2"/>
        <v>Company 112</v>
      </c>
      <c r="Q7" s="251" t="str">
        <f t="shared" ca="1" si="2"/>
        <v>Company 113</v>
      </c>
      <c r="R7" s="251" t="str">
        <f t="shared" ca="1" si="2"/>
        <v>Company 114</v>
      </c>
      <c r="S7" s="251" t="str">
        <f t="shared" ca="1" si="2"/>
        <v>Company 115</v>
      </c>
      <c r="T7" s="251" t="str">
        <f t="shared" ca="1" si="2"/>
        <v>Company 116</v>
      </c>
      <c r="U7" s="251" t="str">
        <f t="shared" ca="1" si="2"/>
        <v>Company 117</v>
      </c>
      <c r="V7" s="251" t="str">
        <f t="shared" ca="1" si="2"/>
        <v>Company 118</v>
      </c>
      <c r="W7" s="251" t="str">
        <f t="shared" ca="1" si="2"/>
        <v>Company 119</v>
      </c>
      <c r="X7" s="251" t="str">
        <f t="shared" ca="1" si="2"/>
        <v>Company 120</v>
      </c>
      <c r="Y7" s="251" t="str">
        <f t="shared" ca="1" si="2"/>
        <v>Company 121</v>
      </c>
      <c r="Z7" s="251" t="str">
        <f t="shared" ca="1" si="2"/>
        <v>Company 122</v>
      </c>
      <c r="AA7" s="251" t="str">
        <f t="shared" ca="1" si="2"/>
        <v>Company 123</v>
      </c>
      <c r="AB7" s="251" t="str">
        <f t="shared" ca="1" si="2"/>
        <v>Company 124</v>
      </c>
      <c r="AC7" s="251" t="str">
        <f t="shared" ca="1" si="2"/>
        <v>Company 125</v>
      </c>
      <c r="AD7" s="251" t="str">
        <f t="shared" ca="1" si="2"/>
        <v>Company 126</v>
      </c>
      <c r="AE7" s="251" t="str">
        <f t="shared" ca="1" si="2"/>
        <v>Company 127</v>
      </c>
      <c r="AF7" s="251" t="str">
        <f t="shared" ca="1" si="2"/>
        <v>Company 128</v>
      </c>
      <c r="AG7" s="251" t="str">
        <f t="shared" ca="1" si="2"/>
        <v>Company 129</v>
      </c>
      <c r="AH7" s="251" t="str">
        <f t="shared" ca="1" si="2"/>
        <v>Company 130</v>
      </c>
      <c r="AI7" s="251" t="str">
        <f t="shared" ca="1" si="2"/>
        <v>Company 131</v>
      </c>
      <c r="AJ7" s="251" t="str">
        <f t="shared" ca="1" si="2"/>
        <v>Company 132</v>
      </c>
      <c r="AK7" s="251" t="str">
        <f t="shared" ref="AK7:BB7" ca="1" si="3">INDIRECT("C"&amp;COLUMN()+3)</f>
        <v>Company 133</v>
      </c>
      <c r="AL7" s="251" t="str">
        <f t="shared" ca="1" si="3"/>
        <v>Company 134</v>
      </c>
      <c r="AM7" s="251">
        <f t="shared" ca="1" si="3"/>
        <v>0</v>
      </c>
      <c r="AN7" s="251">
        <f t="shared" ca="1" si="3"/>
        <v>0</v>
      </c>
      <c r="AO7" s="251">
        <f t="shared" ca="1" si="3"/>
        <v>0</v>
      </c>
      <c r="AP7" s="251">
        <f t="shared" ca="1" si="3"/>
        <v>0</v>
      </c>
      <c r="AQ7" s="251">
        <f t="shared" ca="1" si="3"/>
        <v>0</v>
      </c>
      <c r="AR7" s="251">
        <f t="shared" ca="1" si="3"/>
        <v>0</v>
      </c>
      <c r="AS7" s="251">
        <f t="shared" ca="1" si="3"/>
        <v>0</v>
      </c>
      <c r="AT7" s="251">
        <f t="shared" ca="1" si="3"/>
        <v>0</v>
      </c>
      <c r="AU7" s="251">
        <f t="shared" ca="1" si="3"/>
        <v>0</v>
      </c>
      <c r="AV7" s="251">
        <f t="shared" ca="1" si="3"/>
        <v>0</v>
      </c>
      <c r="AW7" s="251">
        <f t="shared" ca="1" si="3"/>
        <v>0</v>
      </c>
      <c r="AX7" s="251">
        <f t="shared" ca="1" si="3"/>
        <v>0</v>
      </c>
      <c r="AY7" s="251">
        <f t="shared" ca="1" si="3"/>
        <v>0</v>
      </c>
      <c r="AZ7" s="251">
        <f t="shared" ca="1" si="3"/>
        <v>0</v>
      </c>
      <c r="BA7" s="251">
        <f t="shared" ca="1" si="3"/>
        <v>0</v>
      </c>
      <c r="BB7" s="251">
        <f t="shared" ca="1" si="3"/>
        <v>0</v>
      </c>
      <c r="BC7" s="13"/>
      <c r="BD7" s="13"/>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row>
    <row r="8" spans="1:90" ht="60" customHeight="1" x14ac:dyDescent="0.25">
      <c r="A8" s="241"/>
      <c r="B8" s="152"/>
      <c r="C8" s="154" t="str">
        <f ca="1">RiskList!A2</f>
        <v>Company 101</v>
      </c>
      <c r="D8" s="154" t="str">
        <f ca="1">IF(RiskList!B2=0,"",RiskList!B2)</f>
        <v/>
      </c>
      <c r="E8" s="252"/>
      <c r="F8" s="253"/>
      <c r="G8" s="253"/>
      <c r="H8" s="253"/>
      <c r="I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162">
        <f t="shared" ref="BC8:BC39" si="4">COUNTA(E8:BB8)</f>
        <v>0</v>
      </c>
      <c r="BD8" s="162"/>
      <c r="BE8" s="241"/>
      <c r="BF8" s="241"/>
      <c r="BG8" s="241"/>
      <c r="BH8" s="241"/>
      <c r="BI8" s="241"/>
      <c r="BJ8" s="241"/>
      <c r="BK8" s="241"/>
      <c r="BL8" s="241"/>
      <c r="BM8" s="241"/>
      <c r="BN8" s="241"/>
      <c r="BO8" s="241"/>
      <c r="BP8" s="241"/>
      <c r="BQ8" s="241"/>
      <c r="BR8" s="241"/>
      <c r="BS8" s="241"/>
      <c r="BT8" s="241"/>
      <c r="BU8" s="241"/>
      <c r="BV8" s="104"/>
      <c r="BW8" s="241"/>
      <c r="BX8" s="241"/>
      <c r="BY8" s="241"/>
      <c r="BZ8" s="241"/>
      <c r="CA8" s="241"/>
      <c r="CB8" s="241"/>
      <c r="CC8" s="241"/>
      <c r="CD8" s="241"/>
      <c r="CE8" s="241"/>
      <c r="CF8" s="241"/>
      <c r="CG8" s="241"/>
      <c r="CH8" s="241"/>
      <c r="CI8" s="241"/>
      <c r="CJ8" s="241"/>
      <c r="CK8" s="241"/>
      <c r="CL8" s="241"/>
    </row>
    <row r="9" spans="1:90" ht="60" customHeight="1" x14ac:dyDescent="0.25">
      <c r="A9" s="241"/>
      <c r="B9" s="152"/>
      <c r="C9" s="154" t="str">
        <f ca="1">RiskList!A3</f>
        <v>Company 102</v>
      </c>
      <c r="D9" s="154" t="str">
        <f ca="1">IF(RiskList!B3=0,"",RiskList!B3)</f>
        <v/>
      </c>
      <c r="E9" s="253"/>
      <c r="F9" s="252"/>
      <c r="G9" s="253"/>
      <c r="H9" s="253"/>
      <c r="I9" s="253"/>
      <c r="J9" s="253"/>
      <c r="K9" s="253"/>
      <c r="L9" s="253"/>
      <c r="M9" s="253"/>
      <c r="N9" s="253"/>
      <c r="O9" s="253"/>
      <c r="P9" s="253"/>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162">
        <f t="shared" si="4"/>
        <v>0</v>
      </c>
      <c r="BD9" s="162"/>
      <c r="BE9" s="241"/>
      <c r="BF9" s="241"/>
      <c r="BG9" s="241"/>
      <c r="BH9" s="241"/>
      <c r="BI9" s="241"/>
      <c r="BJ9" s="241"/>
      <c r="BK9" s="241"/>
      <c r="BL9" s="241"/>
      <c r="BM9" s="241"/>
      <c r="BN9" s="241"/>
      <c r="BO9" s="241"/>
      <c r="BP9" s="241"/>
      <c r="BQ9" s="241"/>
      <c r="BR9" s="241"/>
      <c r="BS9" s="241"/>
      <c r="BT9" s="241"/>
      <c r="BU9" s="241"/>
      <c r="BV9" s="104"/>
      <c r="BW9" s="241"/>
      <c r="BX9" s="241"/>
      <c r="BY9" s="241"/>
      <c r="BZ9" s="241"/>
      <c r="CA9" s="241"/>
      <c r="CB9" s="241"/>
      <c r="CC9" s="241"/>
      <c r="CD9" s="241"/>
      <c r="CE9" s="241"/>
      <c r="CF9" s="241"/>
      <c r="CG9" s="241"/>
      <c r="CH9" s="241"/>
      <c r="CI9" s="241"/>
      <c r="CJ9" s="241"/>
      <c r="CK9" s="241"/>
      <c r="CL9" s="241"/>
    </row>
    <row r="10" spans="1:90" ht="60" customHeight="1" x14ac:dyDescent="0.25">
      <c r="A10" s="241"/>
      <c r="B10" s="152"/>
      <c r="C10" s="154" t="str">
        <f ca="1">RiskList!A4</f>
        <v>Company 103</v>
      </c>
      <c r="D10" s="154" t="str">
        <f ca="1">IF(RiskList!B4=0,"",RiskList!B4)</f>
        <v/>
      </c>
      <c r="E10" s="253"/>
      <c r="F10" s="253"/>
      <c r="G10" s="252"/>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162">
        <f t="shared" si="4"/>
        <v>0</v>
      </c>
      <c r="BD10" s="162"/>
      <c r="BE10" s="241"/>
      <c r="BF10" s="241"/>
      <c r="BG10" s="241"/>
      <c r="BH10" s="241"/>
      <c r="BI10" s="241"/>
      <c r="BJ10" s="241"/>
      <c r="BK10" s="241"/>
      <c r="BL10" s="241"/>
      <c r="BM10" s="241"/>
      <c r="BN10" s="241"/>
      <c r="BO10" s="241"/>
      <c r="BP10" s="241"/>
      <c r="BQ10" s="241"/>
      <c r="BR10" s="241"/>
      <c r="BS10" s="241"/>
      <c r="BT10" s="241"/>
      <c r="BU10" s="241"/>
      <c r="BV10" s="104"/>
      <c r="BW10" s="241"/>
      <c r="BX10" s="241"/>
      <c r="BY10" s="241"/>
      <c r="BZ10" s="241"/>
      <c r="CA10" s="241"/>
      <c r="CB10" s="241"/>
      <c r="CC10" s="241"/>
      <c r="CD10" s="241"/>
      <c r="CE10" s="241"/>
      <c r="CF10" s="241"/>
      <c r="CG10" s="241"/>
      <c r="CH10" s="241"/>
      <c r="CI10" s="241"/>
      <c r="CJ10" s="241"/>
      <c r="CK10" s="241"/>
      <c r="CL10" s="241"/>
    </row>
    <row r="11" spans="1:90" ht="60" customHeight="1" x14ac:dyDescent="0.25">
      <c r="A11" s="241"/>
      <c r="B11" s="152"/>
      <c r="C11" s="154" t="str">
        <f ca="1">RiskList!A5</f>
        <v>Company 104</v>
      </c>
      <c r="D11" s="154" t="str">
        <f ca="1">IF(RiskList!B5=0,"",RiskList!B5)</f>
        <v/>
      </c>
      <c r="E11" s="253"/>
      <c r="F11" s="253"/>
      <c r="G11" s="253"/>
      <c r="H11" s="252"/>
      <c r="I11" s="253"/>
      <c r="J11" s="253"/>
      <c r="K11" s="253"/>
      <c r="L11" s="253"/>
      <c r="M11" s="253"/>
      <c r="N11" s="253"/>
      <c r="O11" s="253"/>
      <c r="P11" s="253"/>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162">
        <f t="shared" si="4"/>
        <v>0</v>
      </c>
      <c r="BD11" s="162"/>
      <c r="BE11" s="241"/>
      <c r="BF11" s="241"/>
      <c r="BG11" s="241"/>
      <c r="BH11" s="241"/>
      <c r="BI11" s="241"/>
      <c r="BJ11" s="241"/>
      <c r="BK11" s="241"/>
      <c r="BL11" s="241"/>
      <c r="BM11" s="241"/>
      <c r="BN11" s="241"/>
      <c r="BO11" s="241"/>
      <c r="BP11" s="241"/>
      <c r="BQ11" s="241"/>
      <c r="BR11" s="241"/>
      <c r="BS11" s="241"/>
      <c r="BT11" s="241"/>
      <c r="BU11" s="241"/>
      <c r="BV11" s="104"/>
      <c r="BW11" s="241"/>
      <c r="BX11" s="241"/>
      <c r="BY11" s="241"/>
      <c r="BZ11" s="241"/>
      <c r="CA11" s="241"/>
      <c r="CB11" s="241"/>
      <c r="CC11" s="241"/>
      <c r="CD11" s="241"/>
      <c r="CE11" s="241"/>
      <c r="CF11" s="241"/>
      <c r="CG11" s="241"/>
      <c r="CH11" s="241"/>
      <c r="CI11" s="241"/>
      <c r="CJ11" s="241"/>
      <c r="CK11" s="241"/>
      <c r="CL11" s="241"/>
    </row>
    <row r="12" spans="1:90" ht="60" customHeight="1" x14ac:dyDescent="0.25">
      <c r="A12" s="241"/>
      <c r="B12" s="152"/>
      <c r="C12" s="154" t="str">
        <f ca="1">RiskList!A6</f>
        <v>Company 105</v>
      </c>
      <c r="D12" s="154" t="str">
        <f ca="1">IF(RiskList!B6=0,"",RiskList!B6)</f>
        <v/>
      </c>
      <c r="E12" s="253"/>
      <c r="F12" s="253"/>
      <c r="G12" s="253"/>
      <c r="H12" s="253"/>
      <c r="I12" s="252"/>
      <c r="J12" s="253"/>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162">
        <f t="shared" si="4"/>
        <v>0</v>
      </c>
      <c r="BD12" s="162"/>
      <c r="BE12" s="241"/>
      <c r="BF12" s="241"/>
      <c r="BG12" s="241"/>
      <c r="BH12" s="241"/>
      <c r="BI12" s="241"/>
      <c r="BJ12" s="241"/>
      <c r="BK12" s="241"/>
      <c r="BL12" s="241"/>
      <c r="BM12" s="241"/>
      <c r="BN12" s="241"/>
      <c r="BO12" s="241"/>
      <c r="BP12" s="241"/>
      <c r="BQ12" s="241"/>
      <c r="BR12" s="241"/>
      <c r="BS12" s="241"/>
      <c r="BT12" s="241"/>
      <c r="BU12" s="241"/>
      <c r="BV12" s="104"/>
      <c r="BW12" s="241"/>
      <c r="BX12" s="241"/>
      <c r="BY12" s="241"/>
      <c r="BZ12" s="241"/>
      <c r="CA12" s="241"/>
      <c r="CB12" s="241"/>
      <c r="CC12" s="241"/>
      <c r="CD12" s="241"/>
      <c r="CE12" s="241"/>
      <c r="CF12" s="241"/>
      <c r="CG12" s="241"/>
      <c r="CH12" s="241"/>
      <c r="CI12" s="241"/>
      <c r="CJ12" s="241"/>
      <c r="CK12" s="241"/>
      <c r="CL12" s="241"/>
    </row>
    <row r="13" spans="1:90" ht="60" customHeight="1" x14ac:dyDescent="0.25">
      <c r="A13" s="241"/>
      <c r="B13" s="152"/>
      <c r="C13" s="154" t="str">
        <f ca="1">RiskList!A7</f>
        <v>Company 106</v>
      </c>
      <c r="D13" s="154" t="str">
        <f ca="1">IF(RiskList!B7=0,"",RiskList!B7)</f>
        <v/>
      </c>
      <c r="E13" s="253"/>
      <c r="F13" s="253"/>
      <c r="G13" s="253"/>
      <c r="H13" s="253"/>
      <c r="I13" s="253"/>
      <c r="J13" s="252"/>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162">
        <f t="shared" si="4"/>
        <v>0</v>
      </c>
      <c r="BD13" s="162"/>
      <c r="BE13" s="241"/>
      <c r="BF13" s="241"/>
      <c r="BG13" s="241"/>
      <c r="BH13" s="241"/>
      <c r="BI13" s="241"/>
      <c r="BJ13" s="241"/>
      <c r="BK13" s="241"/>
      <c r="BL13" s="241"/>
      <c r="BM13" s="241"/>
      <c r="BN13" s="241"/>
      <c r="BO13" s="241"/>
      <c r="BP13" s="241"/>
      <c r="BQ13" s="241"/>
      <c r="BR13" s="241"/>
      <c r="BS13" s="241"/>
      <c r="BT13" s="241"/>
      <c r="BU13" s="241"/>
      <c r="BV13" s="104"/>
      <c r="BW13" s="241"/>
      <c r="BX13" s="241"/>
      <c r="BY13" s="241"/>
      <c r="BZ13" s="241"/>
      <c r="CA13" s="241"/>
      <c r="CB13" s="241"/>
      <c r="CC13" s="241"/>
      <c r="CD13" s="241"/>
      <c r="CE13" s="241"/>
      <c r="CF13" s="241"/>
      <c r="CG13" s="241"/>
      <c r="CH13" s="241"/>
      <c r="CI13" s="241"/>
      <c r="CJ13" s="241"/>
      <c r="CK13" s="241"/>
      <c r="CL13" s="241"/>
    </row>
    <row r="14" spans="1:90" ht="60" customHeight="1" x14ac:dyDescent="0.25">
      <c r="A14" s="241"/>
      <c r="B14" s="152"/>
      <c r="C14" s="154" t="str">
        <f ca="1">RiskList!A8</f>
        <v>Company 107</v>
      </c>
      <c r="D14" s="154" t="str">
        <f ca="1">IF(RiskList!B8=0,"",RiskList!B8)</f>
        <v/>
      </c>
      <c r="E14" s="253"/>
      <c r="F14" s="253"/>
      <c r="G14" s="253"/>
      <c r="H14" s="253"/>
      <c r="I14" s="253"/>
      <c r="J14" s="253"/>
      <c r="K14" s="252"/>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162">
        <f t="shared" si="4"/>
        <v>0</v>
      </c>
      <c r="BD14" s="162"/>
      <c r="BE14" s="241"/>
      <c r="BF14" s="241"/>
      <c r="BG14" s="241"/>
      <c r="BH14" s="241"/>
      <c r="BI14" s="241"/>
      <c r="BJ14" s="241"/>
      <c r="BK14" s="241"/>
      <c r="BL14" s="241"/>
      <c r="BM14" s="241"/>
      <c r="BN14" s="241"/>
      <c r="BO14" s="241"/>
      <c r="BP14" s="241"/>
      <c r="BQ14" s="241"/>
      <c r="BR14" s="241"/>
      <c r="BS14" s="241"/>
      <c r="BT14" s="241"/>
      <c r="BU14" s="241"/>
      <c r="BV14" s="104"/>
      <c r="BW14" s="241"/>
      <c r="BX14" s="241"/>
      <c r="BY14" s="241"/>
      <c r="BZ14" s="241"/>
      <c r="CA14" s="241"/>
      <c r="CB14" s="241"/>
      <c r="CC14" s="241"/>
      <c r="CD14" s="241"/>
      <c r="CE14" s="241"/>
      <c r="CF14" s="241"/>
      <c r="CG14" s="241"/>
      <c r="CH14" s="241"/>
      <c r="CI14" s="241"/>
      <c r="CJ14" s="241"/>
      <c r="CK14" s="241"/>
      <c r="CL14" s="241"/>
    </row>
    <row r="15" spans="1:90" ht="60" customHeight="1" x14ac:dyDescent="0.25">
      <c r="A15" s="241"/>
      <c r="B15" s="152"/>
      <c r="C15" s="154" t="str">
        <f ca="1">RiskList!A9</f>
        <v>Company 108</v>
      </c>
      <c r="D15" s="154" t="str">
        <f ca="1">IF(RiskList!B9=0,"",RiskList!B9)</f>
        <v/>
      </c>
      <c r="E15" s="253"/>
      <c r="F15" s="253"/>
      <c r="G15" s="253"/>
      <c r="H15" s="253"/>
      <c r="I15" s="253"/>
      <c r="J15" s="253"/>
      <c r="K15" s="253"/>
      <c r="L15" s="252"/>
      <c r="M15" s="253"/>
      <c r="N15" s="253"/>
      <c r="O15" s="253"/>
      <c r="P15" s="253"/>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162">
        <f t="shared" si="4"/>
        <v>0</v>
      </c>
      <c r="BD15" s="162"/>
      <c r="BE15" s="241"/>
      <c r="BF15" s="241"/>
      <c r="BG15" s="241"/>
      <c r="BH15" s="241"/>
      <c r="BI15" s="241"/>
      <c r="BJ15" s="241"/>
      <c r="BK15" s="241"/>
      <c r="BL15" s="241"/>
      <c r="BM15" s="241"/>
      <c r="BN15" s="241"/>
      <c r="BO15" s="241"/>
      <c r="BP15" s="241"/>
      <c r="BQ15" s="241"/>
      <c r="BR15" s="241"/>
      <c r="BS15" s="241"/>
      <c r="BT15" s="241"/>
      <c r="BU15" s="241"/>
      <c r="BV15" s="104"/>
      <c r="BW15" s="241"/>
      <c r="BX15" s="241"/>
      <c r="BY15" s="241"/>
      <c r="BZ15" s="241"/>
      <c r="CA15" s="241"/>
      <c r="CB15" s="241"/>
      <c r="CC15" s="241"/>
      <c r="CD15" s="241"/>
      <c r="CE15" s="241"/>
      <c r="CF15" s="241"/>
      <c r="CG15" s="241"/>
      <c r="CH15" s="241"/>
      <c r="CI15" s="241"/>
      <c r="CJ15" s="241"/>
      <c r="CK15" s="241"/>
      <c r="CL15" s="241"/>
    </row>
    <row r="16" spans="1:90" ht="60" customHeight="1" x14ac:dyDescent="0.25">
      <c r="A16" s="241"/>
      <c r="B16" s="152"/>
      <c r="C16" s="154" t="str">
        <f ca="1">RiskList!A10</f>
        <v>Company 109</v>
      </c>
      <c r="D16" s="154" t="str">
        <f ca="1">IF(RiskList!B10=0,"",RiskList!B10)</f>
        <v/>
      </c>
      <c r="E16" s="253"/>
      <c r="F16" s="253"/>
      <c r="G16" s="253"/>
      <c r="H16" s="253"/>
      <c r="I16" s="253"/>
      <c r="J16" s="253"/>
      <c r="K16" s="253"/>
      <c r="L16" s="253"/>
      <c r="M16" s="252"/>
      <c r="N16" s="253"/>
      <c r="O16" s="253"/>
      <c r="P16" s="253"/>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162">
        <f t="shared" si="4"/>
        <v>0</v>
      </c>
      <c r="BD16" s="162"/>
      <c r="BE16" s="241"/>
      <c r="BF16" s="241"/>
      <c r="BG16" s="241"/>
      <c r="BH16" s="241"/>
      <c r="BI16" s="241"/>
      <c r="BJ16" s="241"/>
      <c r="BK16" s="241"/>
      <c r="BL16" s="241"/>
      <c r="BM16" s="241"/>
      <c r="BN16" s="241"/>
      <c r="BO16" s="241"/>
      <c r="BP16" s="241"/>
      <c r="BQ16" s="241"/>
      <c r="BR16" s="241"/>
      <c r="BS16" s="241"/>
      <c r="BT16" s="241"/>
      <c r="BU16" s="241"/>
      <c r="BV16" s="104"/>
      <c r="BW16" s="241"/>
      <c r="BX16" s="241"/>
      <c r="BY16" s="241"/>
      <c r="BZ16" s="241"/>
      <c r="CA16" s="241"/>
      <c r="CB16" s="241"/>
      <c r="CC16" s="241"/>
      <c r="CD16" s="241"/>
      <c r="CE16" s="241"/>
      <c r="CF16" s="241"/>
      <c r="CG16" s="241"/>
      <c r="CH16" s="241"/>
      <c r="CI16" s="241"/>
      <c r="CJ16" s="241"/>
      <c r="CK16" s="241"/>
      <c r="CL16" s="241"/>
    </row>
    <row r="17" spans="2:56" ht="60" customHeight="1" x14ac:dyDescent="0.25">
      <c r="B17" s="152"/>
      <c r="C17" s="154" t="str">
        <f ca="1">RiskList!A11</f>
        <v>Company 110</v>
      </c>
      <c r="D17" s="154" t="str">
        <f ca="1">IF(RiskList!B11=0,"",RiskList!B11)</f>
        <v/>
      </c>
      <c r="E17" s="253"/>
      <c r="F17" s="253"/>
      <c r="G17" s="253"/>
      <c r="H17" s="253"/>
      <c r="I17" s="253"/>
      <c r="J17" s="253"/>
      <c r="K17" s="253"/>
      <c r="L17" s="253"/>
      <c r="M17" s="253"/>
      <c r="N17" s="252"/>
      <c r="O17" s="253"/>
      <c r="P17" s="253"/>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162">
        <f t="shared" si="4"/>
        <v>0</v>
      </c>
      <c r="BD17" s="162"/>
    </row>
    <row r="18" spans="2:56" ht="60" customHeight="1" x14ac:dyDescent="0.25">
      <c r="B18" s="152"/>
      <c r="C18" s="154" t="str">
        <f ca="1">RiskList!A12</f>
        <v>Company 111</v>
      </c>
      <c r="D18" s="154" t="str">
        <f ca="1">IF(RiskList!B12=0,"",RiskList!B12)</f>
        <v/>
      </c>
      <c r="E18" s="253"/>
      <c r="F18" s="253"/>
      <c r="G18" s="253"/>
      <c r="H18" s="253"/>
      <c r="I18" s="253"/>
      <c r="J18" s="253"/>
      <c r="K18" s="253"/>
      <c r="L18" s="253"/>
      <c r="M18" s="253"/>
      <c r="N18" s="253"/>
      <c r="O18" s="252"/>
      <c r="P18" s="253"/>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162">
        <f t="shared" si="4"/>
        <v>0</v>
      </c>
      <c r="BD18" s="162"/>
    </row>
    <row r="19" spans="2:56" ht="60" customHeight="1" x14ac:dyDescent="0.25">
      <c r="B19" s="152"/>
      <c r="C19" s="154" t="str">
        <f ca="1">RiskList!A13</f>
        <v>Company 112</v>
      </c>
      <c r="D19" s="154" t="str">
        <f ca="1">IF(RiskList!B13=0,"",RiskList!B13)</f>
        <v/>
      </c>
      <c r="E19" s="253"/>
      <c r="F19" s="253"/>
      <c r="G19" s="253"/>
      <c r="H19" s="253"/>
      <c r="I19" s="253"/>
      <c r="J19" s="253"/>
      <c r="K19" s="253"/>
      <c r="L19" s="253"/>
      <c r="M19" s="253"/>
      <c r="N19" s="253"/>
      <c r="O19" s="253"/>
      <c r="P19" s="252"/>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162">
        <f t="shared" si="4"/>
        <v>0</v>
      </c>
      <c r="BD19" s="162"/>
    </row>
    <row r="20" spans="2:56" ht="18.75" customHeight="1" x14ac:dyDescent="0.25">
      <c r="B20" s="152"/>
      <c r="C20" s="154" t="str">
        <f ca="1">RiskList!A14</f>
        <v>Company 113</v>
      </c>
      <c r="D20" s="154" t="str">
        <f ca="1">IF(RiskList!B14=0,"",RiskList!B14)</f>
        <v/>
      </c>
      <c r="E20" s="253"/>
      <c r="F20" s="253"/>
      <c r="G20" s="253"/>
      <c r="H20" s="253"/>
      <c r="I20" s="253"/>
      <c r="J20" s="253"/>
      <c r="K20" s="253"/>
      <c r="L20" s="253"/>
      <c r="M20" s="253"/>
      <c r="N20" s="253"/>
      <c r="O20" s="253"/>
      <c r="P20" s="253"/>
      <c r="Q20" s="252"/>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162">
        <f t="shared" si="4"/>
        <v>0</v>
      </c>
      <c r="BD20" s="162"/>
    </row>
    <row r="21" spans="2:56" ht="18.75" customHeight="1" x14ac:dyDescent="0.25">
      <c r="B21" s="152"/>
      <c r="C21" s="154" t="str">
        <f ca="1">RiskList!A15</f>
        <v>Company 114</v>
      </c>
      <c r="D21" s="154" t="str">
        <f ca="1">IF(RiskList!B15=0,"",RiskList!B15)</f>
        <v/>
      </c>
      <c r="E21" s="253"/>
      <c r="F21" s="253"/>
      <c r="G21" s="253"/>
      <c r="H21" s="253"/>
      <c r="I21" s="253"/>
      <c r="J21" s="253"/>
      <c r="K21" s="253"/>
      <c r="L21" s="253"/>
      <c r="M21" s="253"/>
      <c r="N21" s="253"/>
      <c r="O21" s="253"/>
      <c r="P21" s="253"/>
      <c r="Q21" s="253"/>
      <c r="R21" s="252"/>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162">
        <f t="shared" si="4"/>
        <v>0</v>
      </c>
      <c r="BD21" s="162"/>
    </row>
    <row r="22" spans="2:56" ht="18.75" customHeight="1" x14ac:dyDescent="0.25">
      <c r="B22" s="152"/>
      <c r="C22" s="154" t="str">
        <f ca="1">RiskList!A16</f>
        <v>Company 115</v>
      </c>
      <c r="D22" s="154" t="str">
        <f ca="1">IF(RiskList!B16=0,"",RiskList!B16)</f>
        <v/>
      </c>
      <c r="E22" s="253"/>
      <c r="F22" s="253"/>
      <c r="G22" s="253"/>
      <c r="H22" s="253"/>
      <c r="I22" s="253"/>
      <c r="J22" s="253"/>
      <c r="K22" s="253"/>
      <c r="L22" s="253"/>
      <c r="M22" s="253"/>
      <c r="N22" s="253"/>
      <c r="O22" s="253"/>
      <c r="P22" s="253"/>
      <c r="Q22" s="253"/>
      <c r="R22" s="253"/>
      <c r="S22" s="252"/>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162">
        <f t="shared" si="4"/>
        <v>0</v>
      </c>
      <c r="BD22" s="162"/>
    </row>
    <row r="23" spans="2:56" ht="18.75" customHeight="1" x14ac:dyDescent="0.25">
      <c r="B23" s="152"/>
      <c r="C23" s="154" t="str">
        <f ca="1">RiskList!A17</f>
        <v>Company 116</v>
      </c>
      <c r="D23" s="154" t="str">
        <f ca="1">IF(RiskList!B17=0,"",RiskList!B17)</f>
        <v/>
      </c>
      <c r="E23" s="253"/>
      <c r="F23" s="253"/>
      <c r="G23" s="253"/>
      <c r="H23" s="253"/>
      <c r="I23" s="253"/>
      <c r="J23" s="253"/>
      <c r="K23" s="253"/>
      <c r="L23" s="253"/>
      <c r="M23" s="253"/>
      <c r="N23" s="253"/>
      <c r="O23" s="253"/>
      <c r="P23" s="253"/>
      <c r="Q23" s="253"/>
      <c r="R23" s="253"/>
      <c r="S23" s="253"/>
      <c r="T23" s="252"/>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162">
        <f t="shared" si="4"/>
        <v>0</v>
      </c>
      <c r="BD23" s="162"/>
    </row>
    <row r="24" spans="2:56" ht="18.75" customHeight="1" x14ac:dyDescent="0.25">
      <c r="B24" s="152"/>
      <c r="C24" s="154" t="str">
        <f ca="1">RiskList!A18</f>
        <v>Company 117</v>
      </c>
      <c r="D24" s="154" t="str">
        <f ca="1">IF(RiskList!B18=0,"",RiskList!B18)</f>
        <v/>
      </c>
      <c r="E24" s="253"/>
      <c r="F24" s="253"/>
      <c r="G24" s="253"/>
      <c r="H24" s="253"/>
      <c r="I24" s="253"/>
      <c r="J24" s="253"/>
      <c r="K24" s="253"/>
      <c r="L24" s="253"/>
      <c r="M24" s="253"/>
      <c r="N24" s="253"/>
      <c r="O24" s="253"/>
      <c r="P24" s="253"/>
      <c r="Q24" s="253"/>
      <c r="R24" s="253"/>
      <c r="S24" s="253"/>
      <c r="T24" s="253"/>
      <c r="U24" s="252"/>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162">
        <f t="shared" si="4"/>
        <v>0</v>
      </c>
      <c r="BD24" s="162"/>
    </row>
    <row r="25" spans="2:56" ht="18.75" customHeight="1" x14ac:dyDescent="0.25">
      <c r="B25" s="152"/>
      <c r="C25" s="154" t="str">
        <f ca="1">RiskList!A19</f>
        <v>Company 118</v>
      </c>
      <c r="D25" s="154" t="str">
        <f ca="1">IF(RiskList!B19=0,"",RiskList!B19)</f>
        <v/>
      </c>
      <c r="E25" s="253"/>
      <c r="F25" s="253"/>
      <c r="G25" s="253"/>
      <c r="H25" s="253"/>
      <c r="I25" s="253"/>
      <c r="J25" s="253"/>
      <c r="K25" s="253"/>
      <c r="L25" s="253"/>
      <c r="M25" s="253"/>
      <c r="N25" s="253"/>
      <c r="O25" s="253"/>
      <c r="P25" s="253"/>
      <c r="Q25" s="253"/>
      <c r="R25" s="253"/>
      <c r="S25" s="253"/>
      <c r="T25" s="253"/>
      <c r="U25" s="253"/>
      <c r="V25" s="252"/>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162">
        <f t="shared" si="4"/>
        <v>0</v>
      </c>
      <c r="BD25" s="162"/>
    </row>
    <row r="26" spans="2:56" ht="18.75" customHeight="1" x14ac:dyDescent="0.25">
      <c r="B26" s="152"/>
      <c r="C26" s="154" t="str">
        <f ca="1">RiskList!A20</f>
        <v>Company 119</v>
      </c>
      <c r="D26" s="154" t="str">
        <f ca="1">IF(RiskList!B20=0,"",RiskList!B20)</f>
        <v/>
      </c>
      <c r="E26" s="253"/>
      <c r="F26" s="253"/>
      <c r="G26" s="253"/>
      <c r="H26" s="253"/>
      <c r="I26" s="253"/>
      <c r="J26" s="253"/>
      <c r="K26" s="253"/>
      <c r="L26" s="253"/>
      <c r="M26" s="253"/>
      <c r="N26" s="253"/>
      <c r="O26" s="253"/>
      <c r="P26" s="253"/>
      <c r="Q26" s="253"/>
      <c r="R26" s="253"/>
      <c r="S26" s="253"/>
      <c r="T26" s="253"/>
      <c r="U26" s="253"/>
      <c r="V26" s="253"/>
      <c r="W26" s="252"/>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162">
        <f t="shared" si="4"/>
        <v>0</v>
      </c>
      <c r="BD26" s="162"/>
    </row>
    <row r="27" spans="2:56" ht="18.75" customHeight="1" x14ac:dyDescent="0.25">
      <c r="B27" s="152"/>
      <c r="C27" s="154" t="str">
        <f ca="1">RiskList!A21</f>
        <v>Company 120</v>
      </c>
      <c r="D27" s="154" t="str">
        <f ca="1">IF(RiskList!B21=0,"",RiskList!B21)</f>
        <v/>
      </c>
      <c r="E27" s="253"/>
      <c r="F27" s="253"/>
      <c r="G27" s="253"/>
      <c r="H27" s="253"/>
      <c r="I27" s="253"/>
      <c r="J27" s="253"/>
      <c r="K27" s="253"/>
      <c r="L27" s="253"/>
      <c r="M27" s="253"/>
      <c r="N27" s="253"/>
      <c r="O27" s="253"/>
      <c r="P27" s="253"/>
      <c r="Q27" s="253"/>
      <c r="R27" s="253"/>
      <c r="S27" s="253"/>
      <c r="T27" s="253"/>
      <c r="U27" s="253"/>
      <c r="V27" s="253"/>
      <c r="W27" s="253"/>
      <c r="X27" s="252"/>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162">
        <f t="shared" si="4"/>
        <v>0</v>
      </c>
      <c r="BD27" s="162"/>
    </row>
    <row r="28" spans="2:56" ht="18.75" customHeight="1" x14ac:dyDescent="0.25">
      <c r="B28" s="152"/>
      <c r="C28" s="154" t="str">
        <f ca="1">RiskList!A22</f>
        <v>Company 121</v>
      </c>
      <c r="D28" s="154" t="str">
        <f ca="1">IF(RiskList!B22=0,"",RiskList!B22)</f>
        <v/>
      </c>
      <c r="E28" s="253"/>
      <c r="F28" s="253"/>
      <c r="G28" s="253"/>
      <c r="H28" s="253"/>
      <c r="I28" s="253"/>
      <c r="J28" s="253"/>
      <c r="K28" s="253"/>
      <c r="L28" s="253"/>
      <c r="M28" s="253"/>
      <c r="N28" s="253"/>
      <c r="O28" s="253"/>
      <c r="P28" s="253"/>
      <c r="Q28" s="253"/>
      <c r="R28" s="253"/>
      <c r="S28" s="253"/>
      <c r="T28" s="253"/>
      <c r="U28" s="253"/>
      <c r="V28" s="253"/>
      <c r="W28" s="253"/>
      <c r="X28" s="253"/>
      <c r="Y28" s="252"/>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162">
        <f t="shared" si="4"/>
        <v>0</v>
      </c>
      <c r="BD28" s="162"/>
    </row>
    <row r="29" spans="2:56" ht="18.75" customHeight="1" x14ac:dyDescent="0.25">
      <c r="B29" s="152"/>
      <c r="C29" s="154" t="str">
        <f ca="1">RiskList!A23</f>
        <v>Company 122</v>
      </c>
      <c r="D29" s="154" t="str">
        <f ca="1">IF(RiskList!B23=0,"",RiskList!B23)</f>
        <v/>
      </c>
      <c r="E29" s="253"/>
      <c r="F29" s="253"/>
      <c r="G29" s="253"/>
      <c r="H29" s="253"/>
      <c r="I29" s="253"/>
      <c r="J29" s="253"/>
      <c r="K29" s="253"/>
      <c r="L29" s="253"/>
      <c r="M29" s="253"/>
      <c r="N29" s="253"/>
      <c r="O29" s="253"/>
      <c r="P29" s="253"/>
      <c r="Q29" s="253"/>
      <c r="R29" s="253"/>
      <c r="S29" s="253"/>
      <c r="T29" s="253"/>
      <c r="U29" s="253"/>
      <c r="V29" s="253"/>
      <c r="W29" s="253"/>
      <c r="X29" s="253"/>
      <c r="Y29" s="253"/>
      <c r="Z29" s="252"/>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162">
        <f t="shared" si="4"/>
        <v>0</v>
      </c>
      <c r="BD29" s="162"/>
    </row>
    <row r="30" spans="2:56" ht="18.75" customHeight="1" x14ac:dyDescent="0.25">
      <c r="B30" s="152"/>
      <c r="C30" s="154" t="str">
        <f ca="1">RiskList!A24</f>
        <v>Company 123</v>
      </c>
      <c r="D30" s="154" t="str">
        <f ca="1">IF(RiskList!B24=0,"",RiskList!B24)</f>
        <v/>
      </c>
      <c r="E30" s="253"/>
      <c r="F30" s="253"/>
      <c r="G30" s="253"/>
      <c r="H30" s="253"/>
      <c r="I30" s="253"/>
      <c r="J30" s="253"/>
      <c r="K30" s="253"/>
      <c r="L30" s="253"/>
      <c r="M30" s="253"/>
      <c r="N30" s="253"/>
      <c r="O30" s="253"/>
      <c r="P30" s="253"/>
      <c r="Q30" s="253"/>
      <c r="R30" s="253"/>
      <c r="S30" s="253"/>
      <c r="T30" s="253"/>
      <c r="U30" s="253"/>
      <c r="V30" s="253"/>
      <c r="W30" s="253"/>
      <c r="X30" s="253"/>
      <c r="Y30" s="253"/>
      <c r="Z30" s="253"/>
      <c r="AA30" s="252"/>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162">
        <f t="shared" si="4"/>
        <v>0</v>
      </c>
      <c r="BD30" s="162"/>
    </row>
    <row r="31" spans="2:56" ht="18.75" customHeight="1" x14ac:dyDescent="0.25">
      <c r="B31" s="152"/>
      <c r="C31" s="154" t="str">
        <f ca="1">RiskList!A25</f>
        <v>Company 124</v>
      </c>
      <c r="D31" s="154" t="str">
        <f ca="1">IF(RiskList!B25=0,"",RiskList!B25)</f>
        <v/>
      </c>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2"/>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162">
        <f t="shared" si="4"/>
        <v>0</v>
      </c>
      <c r="BD31" s="162"/>
    </row>
    <row r="32" spans="2:56" ht="18.75" customHeight="1" x14ac:dyDescent="0.25">
      <c r="B32" s="152"/>
      <c r="C32" s="154" t="str">
        <f ca="1">RiskList!A26</f>
        <v>Company 125</v>
      </c>
      <c r="D32" s="154" t="str">
        <f ca="1">IF(RiskList!B26=0,"",RiskList!B26)</f>
        <v/>
      </c>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2"/>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162">
        <f t="shared" si="4"/>
        <v>0</v>
      </c>
      <c r="BD32" s="162"/>
    </row>
    <row r="33" spans="2:56" ht="18.75" customHeight="1" x14ac:dyDescent="0.25">
      <c r="B33" s="152"/>
      <c r="C33" s="154" t="str">
        <f ca="1">RiskList!A27</f>
        <v>Company 126</v>
      </c>
      <c r="D33" s="154" t="str">
        <f ca="1">IF(RiskList!B27=0,"",RiskList!B27)</f>
        <v/>
      </c>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c r="AC33" s="253"/>
      <c r="AD33" s="252"/>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162">
        <f t="shared" si="4"/>
        <v>0</v>
      </c>
      <c r="BD33" s="162"/>
    </row>
    <row r="34" spans="2:56" ht="18.75" customHeight="1" x14ac:dyDescent="0.25">
      <c r="B34" s="152"/>
      <c r="C34" s="154" t="str">
        <f ca="1">RiskList!A28</f>
        <v>Company 127</v>
      </c>
      <c r="D34" s="154" t="str">
        <f ca="1">IF(RiskList!B28=0,"",RiskList!B28)</f>
        <v/>
      </c>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c r="AC34" s="253"/>
      <c r="AD34" s="253"/>
      <c r="AE34" s="252"/>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162">
        <f t="shared" si="4"/>
        <v>0</v>
      </c>
      <c r="BD34" s="162"/>
    </row>
    <row r="35" spans="2:56" ht="18.75" customHeight="1" x14ac:dyDescent="0.25">
      <c r="B35" s="152"/>
      <c r="C35" s="154" t="str">
        <f ca="1">RiskList!A29</f>
        <v>Company 128</v>
      </c>
      <c r="D35" s="154" t="str">
        <f ca="1">IF(RiskList!B29=0,"",RiskList!B29)</f>
        <v/>
      </c>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c r="AC35" s="253"/>
      <c r="AD35" s="253"/>
      <c r="AE35" s="253"/>
      <c r="AF35" s="252"/>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162">
        <f t="shared" si="4"/>
        <v>0</v>
      </c>
      <c r="BD35" s="162"/>
    </row>
    <row r="36" spans="2:56" ht="18.75" customHeight="1" x14ac:dyDescent="0.25">
      <c r="B36" s="152"/>
      <c r="C36" s="154" t="str">
        <f ca="1">RiskList!A30</f>
        <v>Company 129</v>
      </c>
      <c r="D36" s="154" t="str">
        <f ca="1">IF(RiskList!B30=0,"",RiskList!B30)</f>
        <v/>
      </c>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2"/>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162">
        <f t="shared" si="4"/>
        <v>0</v>
      </c>
      <c r="BD36" s="162"/>
    </row>
    <row r="37" spans="2:56" ht="18.75" customHeight="1" x14ac:dyDescent="0.25">
      <c r="B37" s="152"/>
      <c r="C37" s="154" t="str">
        <f ca="1">RiskList!A31</f>
        <v>Company 130</v>
      </c>
      <c r="D37" s="154" t="str">
        <f ca="1">IF(RiskList!B31=0,"",RiskList!B31)</f>
        <v/>
      </c>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c r="AC37" s="253"/>
      <c r="AD37" s="253"/>
      <c r="AE37" s="253"/>
      <c r="AF37" s="253"/>
      <c r="AG37" s="253"/>
      <c r="AH37" s="252"/>
      <c r="AI37" s="253"/>
      <c r="AJ37" s="253"/>
      <c r="AK37" s="253"/>
      <c r="AL37" s="253"/>
      <c r="AM37" s="253"/>
      <c r="AN37" s="253"/>
      <c r="AO37" s="253"/>
      <c r="AP37" s="253"/>
      <c r="AQ37" s="253"/>
      <c r="AR37" s="253"/>
      <c r="AS37" s="253"/>
      <c r="AT37" s="253"/>
      <c r="AU37" s="253"/>
      <c r="AV37" s="253"/>
      <c r="AW37" s="253"/>
      <c r="AX37" s="253"/>
      <c r="AY37" s="253"/>
      <c r="AZ37" s="253"/>
      <c r="BA37" s="253"/>
      <c r="BB37" s="253"/>
      <c r="BC37" s="162">
        <f t="shared" si="4"/>
        <v>0</v>
      </c>
      <c r="BD37" s="162"/>
    </row>
    <row r="38" spans="2:56" ht="18.75" customHeight="1" x14ac:dyDescent="0.25">
      <c r="B38" s="152"/>
      <c r="C38" s="154" t="str">
        <f ca="1">RiskList!A32</f>
        <v>Company 131</v>
      </c>
      <c r="D38" s="154" t="str">
        <f ca="1">IF(RiskList!B32=0,"",RiskList!B32)</f>
        <v/>
      </c>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c r="AC38" s="253"/>
      <c r="AD38" s="253"/>
      <c r="AE38" s="253"/>
      <c r="AF38" s="253"/>
      <c r="AG38" s="253"/>
      <c r="AH38" s="253"/>
      <c r="AI38" s="252"/>
      <c r="AJ38" s="253"/>
      <c r="AK38" s="253"/>
      <c r="AL38" s="253"/>
      <c r="AM38" s="253"/>
      <c r="AN38" s="253"/>
      <c r="AO38" s="253"/>
      <c r="AP38" s="253"/>
      <c r="AQ38" s="253"/>
      <c r="AR38" s="253"/>
      <c r="AS38" s="253"/>
      <c r="AT38" s="253"/>
      <c r="AU38" s="253"/>
      <c r="AV38" s="253"/>
      <c r="AW38" s="253"/>
      <c r="AX38" s="253"/>
      <c r="AY38" s="253"/>
      <c r="AZ38" s="253"/>
      <c r="BA38" s="253"/>
      <c r="BB38" s="253"/>
      <c r="BC38" s="162">
        <f t="shared" si="4"/>
        <v>0</v>
      </c>
      <c r="BD38" s="162"/>
    </row>
    <row r="39" spans="2:56" ht="18.75" customHeight="1" x14ac:dyDescent="0.25">
      <c r="B39" s="152"/>
      <c r="C39" s="154" t="str">
        <f ca="1">RiskList!A33</f>
        <v>Company 132</v>
      </c>
      <c r="D39" s="154" t="str">
        <f ca="1">IF(RiskList!B33=0,"",RiskList!B33)</f>
        <v/>
      </c>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c r="AC39" s="253"/>
      <c r="AD39" s="253"/>
      <c r="AE39" s="253"/>
      <c r="AF39" s="253"/>
      <c r="AG39" s="253"/>
      <c r="AH39" s="253"/>
      <c r="AI39" s="253"/>
      <c r="AJ39" s="252"/>
      <c r="AK39" s="253"/>
      <c r="AL39" s="253"/>
      <c r="AM39" s="253"/>
      <c r="AN39" s="253"/>
      <c r="AO39" s="253"/>
      <c r="AP39" s="253"/>
      <c r="AQ39" s="253"/>
      <c r="AR39" s="253"/>
      <c r="AS39" s="253"/>
      <c r="AT39" s="253"/>
      <c r="AU39" s="253"/>
      <c r="AV39" s="253"/>
      <c r="AW39" s="253"/>
      <c r="AX39" s="253"/>
      <c r="AY39" s="253"/>
      <c r="AZ39" s="253"/>
      <c r="BA39" s="253"/>
      <c r="BB39" s="253"/>
      <c r="BC39" s="162">
        <f t="shared" si="4"/>
        <v>0</v>
      </c>
      <c r="BD39" s="162"/>
    </row>
    <row r="40" spans="2:56" ht="18.75" customHeight="1" x14ac:dyDescent="0.25">
      <c r="B40" s="152"/>
      <c r="C40" s="154" t="str">
        <f ca="1">RiskList!A34</f>
        <v>Company 133</v>
      </c>
      <c r="D40" s="154" t="str">
        <f ca="1">IF(RiskList!B34=0,"",RiskList!B34)</f>
        <v/>
      </c>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c r="AC40" s="253"/>
      <c r="AD40" s="253"/>
      <c r="AE40" s="253"/>
      <c r="AF40" s="253"/>
      <c r="AG40" s="253"/>
      <c r="AH40" s="253"/>
      <c r="AI40" s="253"/>
      <c r="AJ40" s="253"/>
      <c r="AK40" s="252"/>
      <c r="AL40" s="253"/>
      <c r="AM40" s="253"/>
      <c r="AN40" s="253"/>
      <c r="AO40" s="253"/>
      <c r="AP40" s="253"/>
      <c r="AQ40" s="253"/>
      <c r="AR40" s="253"/>
      <c r="AS40" s="253"/>
      <c r="AT40" s="253"/>
      <c r="AU40" s="253"/>
      <c r="AV40" s="253"/>
      <c r="AW40" s="253"/>
      <c r="AX40" s="253"/>
      <c r="AY40" s="253"/>
      <c r="AZ40" s="253"/>
      <c r="BA40" s="253"/>
      <c r="BB40" s="253"/>
      <c r="BC40" s="162">
        <f t="shared" ref="BC40:BC57" si="5">COUNTA(E40:BB40)</f>
        <v>0</v>
      </c>
      <c r="BD40" s="162"/>
    </row>
    <row r="41" spans="2:56" ht="18.75" customHeight="1" x14ac:dyDescent="0.25">
      <c r="B41" s="152"/>
      <c r="C41" s="154" t="str">
        <f ca="1">RiskList!A35</f>
        <v>Company 134</v>
      </c>
      <c r="D41" s="154" t="str">
        <f ca="1">IF(RiskList!B35=0,"",RiskList!B35)</f>
        <v/>
      </c>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c r="AC41" s="253"/>
      <c r="AD41" s="253"/>
      <c r="AE41" s="253"/>
      <c r="AF41" s="253"/>
      <c r="AG41" s="253"/>
      <c r="AH41" s="253"/>
      <c r="AI41" s="253"/>
      <c r="AJ41" s="253"/>
      <c r="AK41" s="253"/>
      <c r="AL41" s="252"/>
      <c r="AM41" s="253"/>
      <c r="AN41" s="253"/>
      <c r="AO41" s="253"/>
      <c r="AP41" s="253"/>
      <c r="AQ41" s="253"/>
      <c r="AR41" s="253"/>
      <c r="AS41" s="253"/>
      <c r="AT41" s="253"/>
      <c r="AU41" s="253"/>
      <c r="AV41" s="253"/>
      <c r="AW41" s="253"/>
      <c r="AX41" s="253"/>
      <c r="AY41" s="253"/>
      <c r="AZ41" s="253"/>
      <c r="BA41" s="253"/>
      <c r="BB41" s="253"/>
      <c r="BC41" s="162">
        <f t="shared" si="5"/>
        <v>0</v>
      </c>
      <c r="BD41" s="162"/>
    </row>
    <row r="42" spans="2:56" ht="18.75" customHeight="1" x14ac:dyDescent="0.25">
      <c r="B42" s="152"/>
      <c r="C42" s="154">
        <f>RiskList!A36</f>
        <v>0</v>
      </c>
      <c r="D42" s="154" t="str">
        <f>IF(RiskList!B36=0,"",RiskList!B36)</f>
        <v/>
      </c>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c r="AC42" s="253"/>
      <c r="AD42" s="253"/>
      <c r="AE42" s="253"/>
      <c r="AF42" s="253"/>
      <c r="AG42" s="253"/>
      <c r="AH42" s="253"/>
      <c r="AI42" s="253"/>
      <c r="AJ42" s="253"/>
      <c r="AK42" s="253"/>
      <c r="AL42" s="253"/>
      <c r="AM42" s="252"/>
      <c r="AN42" s="253"/>
      <c r="AO42" s="253"/>
      <c r="AP42" s="253"/>
      <c r="AQ42" s="253"/>
      <c r="AR42" s="253"/>
      <c r="AS42" s="253"/>
      <c r="AT42" s="253"/>
      <c r="AU42" s="253"/>
      <c r="AV42" s="253"/>
      <c r="AW42" s="253"/>
      <c r="AX42" s="253"/>
      <c r="AY42" s="253"/>
      <c r="AZ42" s="253"/>
      <c r="BA42" s="253"/>
      <c r="BB42" s="253"/>
      <c r="BC42" s="162">
        <f t="shared" si="5"/>
        <v>0</v>
      </c>
      <c r="BD42" s="162"/>
    </row>
    <row r="43" spans="2:56" ht="18.75" customHeight="1" x14ac:dyDescent="0.25">
      <c r="B43" s="152"/>
      <c r="C43" s="154">
        <f>RiskList!A37</f>
        <v>0</v>
      </c>
      <c r="D43" s="154" t="str">
        <f>IF(RiskList!B37=0,"",RiskList!B37)</f>
        <v/>
      </c>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2"/>
      <c r="AO43" s="253"/>
      <c r="AP43" s="253"/>
      <c r="AQ43" s="253"/>
      <c r="AR43" s="253"/>
      <c r="AS43" s="253"/>
      <c r="AT43" s="253"/>
      <c r="AU43" s="253"/>
      <c r="AV43" s="253"/>
      <c r="AW43" s="253"/>
      <c r="AX43" s="253"/>
      <c r="AY43" s="253"/>
      <c r="AZ43" s="253"/>
      <c r="BA43" s="253"/>
      <c r="BB43" s="253"/>
      <c r="BC43" s="162">
        <f t="shared" si="5"/>
        <v>0</v>
      </c>
      <c r="BD43" s="162"/>
    </row>
    <row r="44" spans="2:56" ht="18.75" customHeight="1" x14ac:dyDescent="0.25">
      <c r="B44" s="152"/>
      <c r="C44" s="154">
        <f>RiskList!A38</f>
        <v>0</v>
      </c>
      <c r="D44" s="154" t="str">
        <f>IF(RiskList!B38=0,"",RiskList!B38)</f>
        <v/>
      </c>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c r="AC44" s="253"/>
      <c r="AD44" s="253"/>
      <c r="AE44" s="253"/>
      <c r="AF44" s="253"/>
      <c r="AG44" s="253"/>
      <c r="AH44" s="253"/>
      <c r="AI44" s="253"/>
      <c r="AJ44" s="253"/>
      <c r="AK44" s="253"/>
      <c r="AL44" s="253"/>
      <c r="AM44" s="253"/>
      <c r="AN44" s="253"/>
      <c r="AO44" s="252"/>
      <c r="AP44" s="253"/>
      <c r="AQ44" s="253"/>
      <c r="AR44" s="253"/>
      <c r="AS44" s="253"/>
      <c r="AT44" s="253"/>
      <c r="AU44" s="253"/>
      <c r="AV44" s="253"/>
      <c r="AW44" s="253"/>
      <c r="AX44" s="253"/>
      <c r="AY44" s="253"/>
      <c r="AZ44" s="253"/>
      <c r="BA44" s="253"/>
      <c r="BB44" s="253"/>
      <c r="BC44" s="162">
        <f t="shared" si="5"/>
        <v>0</v>
      </c>
      <c r="BD44" s="162"/>
    </row>
    <row r="45" spans="2:56" ht="18.75" customHeight="1" x14ac:dyDescent="0.25">
      <c r="B45" s="152"/>
      <c r="C45" s="154">
        <f>RiskList!A39</f>
        <v>0</v>
      </c>
      <c r="D45" s="154" t="str">
        <f>IF(RiskList!B39=0,"",RiskList!B39)</f>
        <v/>
      </c>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c r="AC45" s="253"/>
      <c r="AD45" s="253"/>
      <c r="AE45" s="253"/>
      <c r="AF45" s="253"/>
      <c r="AG45" s="253"/>
      <c r="AH45" s="253"/>
      <c r="AI45" s="253"/>
      <c r="AJ45" s="253"/>
      <c r="AK45" s="253"/>
      <c r="AL45" s="253"/>
      <c r="AM45" s="253"/>
      <c r="AN45" s="253"/>
      <c r="AO45" s="253"/>
      <c r="AP45" s="252"/>
      <c r="AQ45" s="253"/>
      <c r="AR45" s="253"/>
      <c r="AS45" s="253"/>
      <c r="AT45" s="253"/>
      <c r="AU45" s="253"/>
      <c r="AV45" s="253"/>
      <c r="AW45" s="253"/>
      <c r="AX45" s="253"/>
      <c r="AY45" s="253"/>
      <c r="AZ45" s="253"/>
      <c r="BA45" s="253"/>
      <c r="BB45" s="253"/>
      <c r="BC45" s="162">
        <f t="shared" si="5"/>
        <v>0</v>
      </c>
      <c r="BD45" s="162"/>
    </row>
    <row r="46" spans="2:56" ht="18.75" customHeight="1" x14ac:dyDescent="0.25">
      <c r="B46" s="152"/>
      <c r="C46" s="154">
        <f>RiskList!A40</f>
        <v>0</v>
      </c>
      <c r="D46" s="154" t="str">
        <f>IF(RiskList!B40=0,"",RiskList!B40)</f>
        <v/>
      </c>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2"/>
      <c r="AR46" s="253"/>
      <c r="AS46" s="253"/>
      <c r="AT46" s="253"/>
      <c r="AU46" s="253"/>
      <c r="AV46" s="253"/>
      <c r="AW46" s="253"/>
      <c r="AX46" s="253"/>
      <c r="AY46" s="253"/>
      <c r="AZ46" s="253"/>
      <c r="BA46" s="253"/>
      <c r="BB46" s="253"/>
      <c r="BC46" s="162">
        <f t="shared" si="5"/>
        <v>0</v>
      </c>
      <c r="BD46" s="162"/>
    </row>
    <row r="47" spans="2:56" ht="18.75" customHeight="1" x14ac:dyDescent="0.25">
      <c r="B47" s="152"/>
      <c r="C47" s="154">
        <f>RiskList!A41</f>
        <v>0</v>
      </c>
      <c r="D47" s="154" t="str">
        <f>IF(RiskList!B41=0,"",RiskList!B41)</f>
        <v/>
      </c>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2"/>
      <c r="AS47" s="253"/>
      <c r="AT47" s="253"/>
      <c r="AU47" s="253"/>
      <c r="AV47" s="253"/>
      <c r="AW47" s="253"/>
      <c r="AX47" s="253"/>
      <c r="AY47" s="253"/>
      <c r="AZ47" s="253"/>
      <c r="BA47" s="253"/>
      <c r="BB47" s="253"/>
      <c r="BC47" s="162">
        <f t="shared" si="5"/>
        <v>0</v>
      </c>
      <c r="BD47" s="162"/>
    </row>
    <row r="48" spans="2:56" ht="18.75" customHeight="1" x14ac:dyDescent="0.25">
      <c r="B48" s="152"/>
      <c r="C48" s="154">
        <f>RiskList!A42</f>
        <v>0</v>
      </c>
      <c r="D48" s="154" t="str">
        <f>IF(RiskList!B42=0,"",RiskList!B42)</f>
        <v/>
      </c>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2"/>
      <c r="AT48" s="253"/>
      <c r="AU48" s="253"/>
      <c r="AV48" s="253"/>
      <c r="AW48" s="253"/>
      <c r="AX48" s="253"/>
      <c r="AY48" s="253"/>
      <c r="AZ48" s="253"/>
      <c r="BA48" s="253"/>
      <c r="BB48" s="253"/>
      <c r="BC48" s="162">
        <f t="shared" si="5"/>
        <v>0</v>
      </c>
      <c r="BD48" s="162"/>
    </row>
    <row r="49" spans="2:56" ht="18.75" customHeight="1" x14ac:dyDescent="0.25">
      <c r="B49" s="152"/>
      <c r="C49" s="154">
        <f>RiskList!A43</f>
        <v>0</v>
      </c>
      <c r="D49" s="154" t="str">
        <f>IF(RiskList!B43=0,"",RiskList!B43)</f>
        <v/>
      </c>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2"/>
      <c r="AU49" s="253"/>
      <c r="AV49" s="253"/>
      <c r="AW49" s="253"/>
      <c r="AX49" s="253"/>
      <c r="AY49" s="253"/>
      <c r="AZ49" s="253"/>
      <c r="BA49" s="253"/>
      <c r="BB49" s="253"/>
      <c r="BC49" s="162">
        <f t="shared" si="5"/>
        <v>0</v>
      </c>
      <c r="BD49" s="162"/>
    </row>
    <row r="50" spans="2:56" ht="18.75" customHeight="1" x14ac:dyDescent="0.25">
      <c r="B50" s="152"/>
      <c r="C50" s="154">
        <f>RiskList!A44</f>
        <v>0</v>
      </c>
      <c r="D50" s="154" t="str">
        <f>IF(RiskList!B44=0,"",RiskList!B44)</f>
        <v/>
      </c>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2"/>
      <c r="AV50" s="253"/>
      <c r="AW50" s="253"/>
      <c r="AX50" s="253"/>
      <c r="AY50" s="253"/>
      <c r="AZ50" s="253"/>
      <c r="BA50" s="253"/>
      <c r="BB50" s="253"/>
      <c r="BC50" s="162">
        <f t="shared" si="5"/>
        <v>0</v>
      </c>
      <c r="BD50" s="162"/>
    </row>
    <row r="51" spans="2:56" ht="18.75" customHeight="1" x14ac:dyDescent="0.25">
      <c r="B51" s="152"/>
      <c r="C51" s="154">
        <f>RiskList!A45</f>
        <v>0</v>
      </c>
      <c r="D51" s="154" t="str">
        <f>IF(RiskList!B45=0,"",RiskList!B45)</f>
        <v/>
      </c>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2"/>
      <c r="AW51" s="253"/>
      <c r="AX51" s="253"/>
      <c r="AY51" s="253"/>
      <c r="AZ51" s="253"/>
      <c r="BA51" s="253"/>
      <c r="BB51" s="253"/>
      <c r="BC51" s="162">
        <f t="shared" si="5"/>
        <v>0</v>
      </c>
      <c r="BD51" s="162"/>
    </row>
    <row r="52" spans="2:56" ht="18.75" customHeight="1" x14ac:dyDescent="0.25">
      <c r="B52" s="152"/>
      <c r="C52" s="154">
        <f>RiskList!A46</f>
        <v>0</v>
      </c>
      <c r="D52" s="154" t="str">
        <f>IF(RiskList!B46=0,"",RiskList!B46)</f>
        <v/>
      </c>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2"/>
      <c r="AX52" s="253"/>
      <c r="AY52" s="253"/>
      <c r="AZ52" s="253"/>
      <c r="BA52" s="253"/>
      <c r="BB52" s="253"/>
      <c r="BC52" s="162">
        <f t="shared" si="5"/>
        <v>0</v>
      </c>
      <c r="BD52" s="162"/>
    </row>
    <row r="53" spans="2:56" ht="18.75" customHeight="1" x14ac:dyDescent="0.25">
      <c r="B53" s="152"/>
      <c r="C53" s="154">
        <f>RiskList!A47</f>
        <v>0</v>
      </c>
      <c r="D53" s="154" t="str">
        <f>IF(RiskList!B47=0,"",RiskList!B47)</f>
        <v/>
      </c>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2"/>
      <c r="AY53" s="253"/>
      <c r="AZ53" s="253"/>
      <c r="BA53" s="253"/>
      <c r="BB53" s="253"/>
      <c r="BC53" s="162">
        <f t="shared" si="5"/>
        <v>0</v>
      </c>
      <c r="BD53" s="162"/>
    </row>
    <row r="54" spans="2:56" ht="18.75" customHeight="1" x14ac:dyDescent="0.25">
      <c r="B54" s="152"/>
      <c r="C54" s="154">
        <f>RiskList!A48</f>
        <v>0</v>
      </c>
      <c r="D54" s="154" t="str">
        <f>IF(RiskList!B48=0,"",RiskList!B48)</f>
        <v/>
      </c>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2"/>
      <c r="AZ54" s="253"/>
      <c r="BA54" s="253"/>
      <c r="BB54" s="253"/>
      <c r="BC54" s="162">
        <f t="shared" si="5"/>
        <v>0</v>
      </c>
      <c r="BD54" s="162"/>
    </row>
    <row r="55" spans="2:56" ht="18.75" customHeight="1" x14ac:dyDescent="0.25">
      <c r="B55" s="152"/>
      <c r="C55" s="154">
        <f>RiskList!A49</f>
        <v>0</v>
      </c>
      <c r="D55" s="154" t="str">
        <f>IF(RiskList!B49=0,"",RiskList!B49)</f>
        <v/>
      </c>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2"/>
      <c r="BA55" s="253"/>
      <c r="BB55" s="253"/>
      <c r="BC55" s="162">
        <f t="shared" si="5"/>
        <v>0</v>
      </c>
      <c r="BD55" s="162"/>
    </row>
    <row r="56" spans="2:56" ht="18.75" customHeight="1" x14ac:dyDescent="0.25">
      <c r="B56" s="152"/>
      <c r="C56" s="154">
        <f>RiskList!A50</f>
        <v>0</v>
      </c>
      <c r="D56" s="154" t="str">
        <f>IF(RiskList!B50=0,"",RiskList!B50)</f>
        <v/>
      </c>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2"/>
      <c r="BB56" s="253"/>
      <c r="BC56" s="162">
        <f t="shared" si="5"/>
        <v>0</v>
      </c>
      <c r="BD56" s="162"/>
    </row>
    <row r="57" spans="2:56" ht="18.75" customHeight="1" x14ac:dyDescent="0.25">
      <c r="B57" s="152"/>
      <c r="C57" s="154">
        <f>RiskList!A51</f>
        <v>0</v>
      </c>
      <c r="D57" s="154" t="str">
        <f>IF(RiskList!B51=0,"",RiskList!B51)</f>
        <v/>
      </c>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2"/>
      <c r="BC57" s="162">
        <f t="shared" si="5"/>
        <v>0</v>
      </c>
      <c r="BD57" s="162"/>
    </row>
    <row r="58" spans="2:56" ht="11.25" customHeight="1" x14ac:dyDescent="0.25">
      <c r="B58" s="152"/>
      <c r="C58" s="124">
        <f ca="1">COUNTA(C8:C57)</f>
        <v>50</v>
      </c>
      <c r="D58" s="124">
        <f ca="1">COUNTA(D8:D57)-COUNTIF(D8:D57,"")</f>
        <v>0</v>
      </c>
      <c r="E58" s="124">
        <f t="shared" ref="E58:AJ58" si="6">COUNTA(E8:E57)</f>
        <v>0</v>
      </c>
      <c r="F58" s="124">
        <f t="shared" si="6"/>
        <v>0</v>
      </c>
      <c r="G58" s="124">
        <f t="shared" si="6"/>
        <v>0</v>
      </c>
      <c r="H58" s="124">
        <f t="shared" si="6"/>
        <v>0</v>
      </c>
      <c r="I58" s="124">
        <f t="shared" si="6"/>
        <v>0</v>
      </c>
      <c r="J58" s="124">
        <f t="shared" si="6"/>
        <v>0</v>
      </c>
      <c r="K58" s="124">
        <f t="shared" si="6"/>
        <v>0</v>
      </c>
      <c r="L58" s="124">
        <f t="shared" si="6"/>
        <v>0</v>
      </c>
      <c r="M58" s="124">
        <f t="shared" si="6"/>
        <v>0</v>
      </c>
      <c r="N58" s="124">
        <f t="shared" si="6"/>
        <v>0</v>
      </c>
      <c r="O58" s="124">
        <f t="shared" si="6"/>
        <v>0</v>
      </c>
      <c r="P58" s="124">
        <f t="shared" si="6"/>
        <v>0</v>
      </c>
      <c r="Q58" s="124">
        <f t="shared" si="6"/>
        <v>0</v>
      </c>
      <c r="R58" s="124">
        <f t="shared" si="6"/>
        <v>0</v>
      </c>
      <c r="S58" s="124">
        <f t="shared" si="6"/>
        <v>0</v>
      </c>
      <c r="T58" s="124">
        <f t="shared" si="6"/>
        <v>0</v>
      </c>
      <c r="U58" s="124">
        <f t="shared" si="6"/>
        <v>0</v>
      </c>
      <c r="V58" s="124">
        <f t="shared" si="6"/>
        <v>0</v>
      </c>
      <c r="W58" s="124">
        <f t="shared" si="6"/>
        <v>0</v>
      </c>
      <c r="X58" s="124">
        <f t="shared" si="6"/>
        <v>0</v>
      </c>
      <c r="Y58" s="124">
        <f t="shared" si="6"/>
        <v>0</v>
      </c>
      <c r="Z58" s="124">
        <f t="shared" si="6"/>
        <v>0</v>
      </c>
      <c r="AA58" s="124">
        <f t="shared" si="6"/>
        <v>0</v>
      </c>
      <c r="AB58" s="124">
        <f t="shared" si="6"/>
        <v>0</v>
      </c>
      <c r="AC58" s="124">
        <f t="shared" si="6"/>
        <v>0</v>
      </c>
      <c r="AD58" s="124">
        <f t="shared" si="6"/>
        <v>0</v>
      </c>
      <c r="AE58" s="124">
        <f t="shared" si="6"/>
        <v>0</v>
      </c>
      <c r="AF58" s="124">
        <f t="shared" si="6"/>
        <v>0</v>
      </c>
      <c r="AG58" s="124">
        <f t="shared" si="6"/>
        <v>0</v>
      </c>
      <c r="AH58" s="124">
        <f t="shared" si="6"/>
        <v>0</v>
      </c>
      <c r="AI58" s="124">
        <f t="shared" si="6"/>
        <v>0</v>
      </c>
      <c r="AJ58" s="124">
        <f t="shared" si="6"/>
        <v>0</v>
      </c>
      <c r="AK58" s="124">
        <f t="shared" ref="AK58:BB58" si="7">COUNTA(AK8:AK57)</f>
        <v>0</v>
      </c>
      <c r="AL58" s="124">
        <f t="shared" si="7"/>
        <v>0</v>
      </c>
      <c r="AM58" s="124">
        <f t="shared" si="7"/>
        <v>0</v>
      </c>
      <c r="AN58" s="124">
        <f t="shared" si="7"/>
        <v>0</v>
      </c>
      <c r="AO58" s="124">
        <f t="shared" si="7"/>
        <v>0</v>
      </c>
      <c r="AP58" s="124">
        <f t="shared" si="7"/>
        <v>0</v>
      </c>
      <c r="AQ58" s="124">
        <f t="shared" si="7"/>
        <v>0</v>
      </c>
      <c r="AR58" s="124">
        <f t="shared" si="7"/>
        <v>0</v>
      </c>
      <c r="AS58" s="124">
        <f t="shared" si="7"/>
        <v>0</v>
      </c>
      <c r="AT58" s="124">
        <f t="shared" si="7"/>
        <v>0</v>
      </c>
      <c r="AU58" s="124">
        <f t="shared" si="7"/>
        <v>0</v>
      </c>
      <c r="AV58" s="124">
        <f t="shared" si="7"/>
        <v>0</v>
      </c>
      <c r="AW58" s="124">
        <f t="shared" si="7"/>
        <v>0</v>
      </c>
      <c r="AX58" s="124">
        <f t="shared" si="7"/>
        <v>0</v>
      </c>
      <c r="AY58" s="124">
        <f t="shared" si="7"/>
        <v>0</v>
      </c>
      <c r="AZ58" s="124">
        <f t="shared" si="7"/>
        <v>0</v>
      </c>
      <c r="BA58" s="124">
        <f t="shared" si="7"/>
        <v>0</v>
      </c>
      <c r="BB58" s="124">
        <f t="shared" si="7"/>
        <v>0</v>
      </c>
      <c r="BC58" s="162"/>
      <c r="BD58" s="162"/>
    </row>
    <row r="59" spans="2:56" ht="15" customHeight="1" x14ac:dyDescent="0.25">
      <c r="B59" s="35"/>
      <c r="C59" s="36"/>
      <c r="D59" s="419"/>
      <c r="E59" s="419"/>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38"/>
      <c r="BD59" s="38"/>
    </row>
  </sheetData>
  <mergeCells count="3">
    <mergeCell ref="E3:P3"/>
    <mergeCell ref="C6:D7"/>
    <mergeCell ref="D59:E59"/>
  </mergeCells>
  <dataValidations count="1">
    <dataValidation type="list" allowBlank="1" sqref="F8:BB8 E9 G9:BB9 E10:F10 H10:BB10 E11:G11 I11:BB11 E12:H12 J12:BB12 E13:I13 K13:BB13 E14:J14 L14:BB14 E15:K15 M15:BB15 E16:L16 N16:BB16 E17:M17 O17:BB17 E18:N18 P18:BB18 E19:O19 Q19:BB19 E20:P20 R20:BB20 E21:Q21 S21:BB21 E22:R22 T22:BB22 E23:S23 U23:BB23 E24:T24 V24:BB24 E25:U25 W25:BB25 E26:V26 X26:BB26 E27:W27 Y27:BB27 E28:X28 Z28:BB28 E29:Y29 AA29:BB29 E30:Z30 AB30:BB30 E31:AA31 AC31:BB31 E32:AB32 AD32:BB32 E33:AC33 AE33:BB33 E34:AD34 AF34:BB34 E35:AE35 AG35:BB35 E36:AF36 AH36:BB36 E37:AG37 AI37:BB37 E38:AH38 AJ38:BB38 E39:AI39 AK39:BB39 E40:AJ40 AL40:BB40 E41:AK41 AM41:BB41 E42:AL42 AN42:BB42 E43:AM43 AO43:BB43 E44:AN44 AP44:BB44 E45:AO45 AQ45:BB45 E46:AP46 AR46:BB46 E47:AQ47 AS47:BB47 E48:AR48 AT48:BB48 E49:AS49 AU49:BB49 E50:AT50 AV50:BB50 E51:AU51 AW51:BB51 E52:AV52 AX52:BB52 E53:AW53 AY53:BB53 E54:AX54 AZ54:BB54 E55:AY55 BA55:BB55 E56:AZ56 BB56 E57:BA57" xr:uid="{00000000-0002-0000-0D00-000000000000}">
      <formula1>"I,d"</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A1B9A"/>
    <pageSetUpPr fitToPage="1"/>
  </sheetPr>
  <dimension ref="A1:G22"/>
  <sheetViews>
    <sheetView zoomScaleNormal="100" workbookViewId="0">
      <selection activeCell="K14" sqref="K14"/>
    </sheetView>
  </sheetViews>
  <sheetFormatPr defaultColWidth="8.7109375" defaultRowHeight="15" x14ac:dyDescent="0.25"/>
  <cols>
    <col min="1" max="1" width="20" customWidth="1"/>
    <col min="2" max="6" width="14" customWidth="1"/>
    <col min="7" max="7" width="30" customWidth="1"/>
  </cols>
  <sheetData>
    <row r="1" spans="1:7" ht="17.25" customHeight="1" x14ac:dyDescent="0.25">
      <c r="A1" s="429" t="s">
        <v>677</v>
      </c>
      <c r="B1" s="429"/>
      <c r="C1" s="429"/>
      <c r="D1" s="429"/>
      <c r="E1" s="429"/>
      <c r="F1" s="429"/>
      <c r="G1" s="429"/>
    </row>
    <row r="2" spans="1:7" ht="15" customHeight="1" x14ac:dyDescent="0.25">
      <c r="A2" s="398" t="s">
        <v>678</v>
      </c>
      <c r="B2" s="398"/>
      <c r="C2" s="398"/>
      <c r="D2" s="398"/>
      <c r="E2" s="398"/>
      <c r="F2" s="398"/>
      <c r="G2" s="398"/>
    </row>
    <row r="4" spans="1:7" ht="15" customHeight="1" x14ac:dyDescent="0.25">
      <c r="A4" s="395" t="s">
        <v>679</v>
      </c>
      <c r="B4" s="395"/>
      <c r="C4" s="395"/>
      <c r="D4" s="395"/>
      <c r="E4" s="395"/>
      <c r="F4" s="395"/>
      <c r="G4" s="395"/>
    </row>
    <row r="5" spans="1:7" ht="18.75" customHeight="1" x14ac:dyDescent="0.25">
      <c r="A5" s="2"/>
      <c r="B5" s="254" t="s">
        <v>680</v>
      </c>
      <c r="C5" s="254" t="s">
        <v>681</v>
      </c>
      <c r="D5" s="254" t="s">
        <v>682</v>
      </c>
      <c r="E5" s="254" t="s">
        <v>683</v>
      </c>
      <c r="F5" s="254" t="s">
        <v>684</v>
      </c>
    </row>
    <row r="6" spans="1:7" ht="15" customHeight="1" x14ac:dyDescent="0.25">
      <c r="A6" s="255" t="s">
        <v>680</v>
      </c>
      <c r="B6" s="61">
        <v>1</v>
      </c>
      <c r="C6" s="256">
        <v>0.35</v>
      </c>
      <c r="D6" s="256">
        <v>0.25</v>
      </c>
      <c r="E6" s="256">
        <v>0.15</v>
      </c>
      <c r="F6" s="256">
        <v>0.1</v>
      </c>
    </row>
    <row r="7" spans="1:7" ht="15" customHeight="1" x14ac:dyDescent="0.25">
      <c r="A7" s="255" t="s">
        <v>681</v>
      </c>
      <c r="B7" s="256">
        <v>0.35</v>
      </c>
      <c r="C7" s="61">
        <v>1</v>
      </c>
      <c r="D7" s="256">
        <v>0.2</v>
      </c>
      <c r="E7" s="256">
        <v>0.3</v>
      </c>
      <c r="F7" s="256">
        <v>0.25</v>
      </c>
    </row>
    <row r="8" spans="1:7" ht="15" customHeight="1" x14ac:dyDescent="0.25">
      <c r="A8" s="255" t="s">
        <v>682</v>
      </c>
      <c r="B8" s="256">
        <v>0.25</v>
      </c>
      <c r="C8" s="256">
        <v>0.2</v>
      </c>
      <c r="D8" s="61">
        <v>1</v>
      </c>
      <c r="E8" s="256">
        <v>0.4</v>
      </c>
      <c r="F8" s="256">
        <v>0.35</v>
      </c>
    </row>
    <row r="9" spans="1:7" ht="15" customHeight="1" x14ac:dyDescent="0.25">
      <c r="A9" s="255" t="s">
        <v>683</v>
      </c>
      <c r="B9" s="256">
        <v>0.15</v>
      </c>
      <c r="C9" s="256">
        <v>0.3</v>
      </c>
      <c r="D9" s="256">
        <v>0.4</v>
      </c>
      <c r="E9" s="61">
        <v>1</v>
      </c>
      <c r="F9" s="256">
        <v>0.2</v>
      </c>
    </row>
    <row r="10" spans="1:7" ht="15" customHeight="1" x14ac:dyDescent="0.25">
      <c r="A10" s="255" t="s">
        <v>684</v>
      </c>
      <c r="B10" s="256">
        <v>0.1</v>
      </c>
      <c r="C10" s="256">
        <v>0.25</v>
      </c>
      <c r="D10" s="256">
        <v>0.35</v>
      </c>
      <c r="E10" s="256">
        <v>0.2</v>
      </c>
      <c r="F10" s="61">
        <v>1</v>
      </c>
    </row>
    <row r="13" spans="1:7" ht="15" customHeight="1" x14ac:dyDescent="0.25">
      <c r="A13" s="395" t="s">
        <v>685</v>
      </c>
      <c r="B13" s="395"/>
      <c r="C13" s="395"/>
      <c r="D13" s="395"/>
      <c r="E13" s="395"/>
      <c r="F13" s="395"/>
      <c r="G13" s="395"/>
    </row>
    <row r="14" spans="1:7" ht="30" customHeight="1" x14ac:dyDescent="0.25">
      <c r="A14" s="45" t="s">
        <v>244</v>
      </c>
      <c r="B14" s="45" t="s">
        <v>40</v>
      </c>
      <c r="C14" s="45" t="s">
        <v>304</v>
      </c>
      <c r="D14" s="45" t="s">
        <v>41</v>
      </c>
      <c r="E14" s="45" t="s">
        <v>222</v>
      </c>
      <c r="F14" s="45"/>
      <c r="G14" s="45"/>
    </row>
    <row r="15" spans="1:7" ht="15" customHeight="1" x14ac:dyDescent="0.25">
      <c r="A15" s="40" t="s">
        <v>686</v>
      </c>
      <c r="B15" s="257" t="s">
        <v>687</v>
      </c>
      <c r="C15" s="75" t="s">
        <v>688</v>
      </c>
      <c r="D15" s="258">
        <f>B6^2+C6^2+D6^2+E6^2+F6^2+B7^2+C7^2+D7^2+E7^2+F7^2+B8^2+C8^2+D8^2+E8^2+F8^2+B9^2+C9^2+D9^2+E9^2+F9^2+B10^2+C10^2+D10^2+E10^2+F10^2</f>
        <v>6.4649999999999999</v>
      </c>
      <c r="E15" s="259"/>
    </row>
    <row r="16" spans="1:7" ht="23.25" customHeight="1" x14ac:dyDescent="0.25">
      <c r="A16" s="40" t="s">
        <v>689</v>
      </c>
      <c r="B16" s="257" t="s">
        <v>68</v>
      </c>
      <c r="C16" s="75" t="s">
        <v>690</v>
      </c>
      <c r="D16" s="258">
        <f>LN(5)*(1-(D15/25-1/5)/(1/5-1/25))</f>
        <v>1.0199812770051111</v>
      </c>
      <c r="E16" s="259"/>
    </row>
    <row r="17" spans="1:5" ht="15" customHeight="1" x14ac:dyDescent="0.25">
      <c r="A17" s="40" t="s">
        <v>691</v>
      </c>
      <c r="B17" s="257" t="s">
        <v>692</v>
      </c>
      <c r="C17" s="260" t="s">
        <v>693</v>
      </c>
      <c r="D17" s="258">
        <f>LN(5)</f>
        <v>1.6094379124341003</v>
      </c>
      <c r="E17" s="259"/>
    </row>
    <row r="18" spans="1:5" ht="15" customHeight="1" x14ac:dyDescent="0.25">
      <c r="A18" s="40" t="s">
        <v>694</v>
      </c>
      <c r="B18" s="257" t="s">
        <v>695</v>
      </c>
      <c r="C18" s="259"/>
      <c r="D18" s="261">
        <f>D16/D17</f>
        <v>0.63375000000000004</v>
      </c>
      <c r="E18" s="259"/>
    </row>
    <row r="19" spans="1:5" ht="15" customHeight="1" x14ac:dyDescent="0.25">
      <c r="A19" s="40" t="s">
        <v>696</v>
      </c>
      <c r="B19" s="259"/>
      <c r="C19" s="259"/>
      <c r="D19" s="258">
        <f>C6+D6+E6+F6+B7+D7+E7+F7+B8+C8+E8+F8+B9+C9+D9+F9+B10+C10+D10+E10</f>
        <v>5.0999999999999996</v>
      </c>
      <c r="E19" s="259"/>
    </row>
    <row r="20" spans="1:5" ht="15" customHeight="1" x14ac:dyDescent="0.25">
      <c r="A20" s="40" t="s">
        <v>697</v>
      </c>
      <c r="B20" s="257" t="s">
        <v>698</v>
      </c>
      <c r="C20" s="75" t="s">
        <v>699</v>
      </c>
      <c r="D20" s="262">
        <f>D19/20</f>
        <v>0.255</v>
      </c>
      <c r="E20" s="259"/>
    </row>
    <row r="21" spans="1:5" ht="15" customHeight="1" x14ac:dyDescent="0.25">
      <c r="A21" s="40" t="s">
        <v>700</v>
      </c>
      <c r="B21" s="259"/>
      <c r="C21" s="259"/>
      <c r="D21" s="263" t="str">
        <f>IF(D20&gt;0.35,"HIGH CASCADE RISK",IF(D20&gt;0.2,"MODERATE","LOW"))</f>
        <v>MODERATE</v>
      </c>
      <c r="E21" s="259"/>
    </row>
    <row r="22" spans="1:5" ht="15" customHeight="1" x14ac:dyDescent="0.25">
      <c r="A22" s="40" t="s">
        <v>701</v>
      </c>
      <c r="B22" s="257" t="s">
        <v>702</v>
      </c>
      <c r="C22" s="75" t="s">
        <v>703</v>
      </c>
      <c r="D22" s="264">
        <f>Calibration!C20*(1+0.5*D20)</f>
        <v>0.10485749999999999</v>
      </c>
      <c r="E22" s="259"/>
    </row>
  </sheetData>
  <mergeCells count="4">
    <mergeCell ref="A1:G1"/>
    <mergeCell ref="A2:G2"/>
    <mergeCell ref="A4:G4"/>
    <mergeCell ref="A13:G13"/>
  </mergeCells>
  <pageMargins left="0.75" right="0.75" top="1" bottom="1"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CG63"/>
  <sheetViews>
    <sheetView zoomScaleNormal="100" workbookViewId="0"/>
  </sheetViews>
  <sheetFormatPr defaultColWidth="8.7109375" defaultRowHeight="15" x14ac:dyDescent="0.25"/>
  <cols>
    <col min="1" max="1" width="1.5703125" customWidth="1"/>
    <col min="3" max="3" width="5" customWidth="1"/>
    <col min="4" max="4" width="30.5703125" customWidth="1"/>
    <col min="5" max="5" width="11" customWidth="1"/>
    <col min="25" max="25" width="11" customWidth="1"/>
    <col min="55" max="55" width="2.42578125" customWidth="1"/>
    <col min="57" max="57" width="1.5703125" customWidth="1"/>
    <col min="58" max="58" width="8" customWidth="1"/>
    <col min="74" max="74" width="1.7109375" customWidth="1"/>
    <col min="75" max="75" width="9.140625" customWidth="1"/>
  </cols>
  <sheetData>
    <row r="2" spans="1:85" ht="12.75" customHeight="1" x14ac:dyDescent="0.25">
      <c r="A2" s="104"/>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9"/>
      <c r="BD2" s="9"/>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row>
    <row r="3" spans="1:85" ht="36" customHeight="1" x14ac:dyDescent="0.25">
      <c r="A3" s="104"/>
      <c r="B3" s="10"/>
      <c r="C3" s="249">
        <f>Header!$A$1</f>
        <v>0</v>
      </c>
      <c r="D3" s="144"/>
      <c r="E3" s="427" t="s">
        <v>704</v>
      </c>
      <c r="F3" s="427"/>
      <c r="G3" s="427"/>
      <c r="H3" s="427"/>
      <c r="I3" s="427"/>
      <c r="J3" s="427"/>
      <c r="K3" s="427"/>
      <c r="L3" s="427"/>
      <c r="M3" s="427"/>
      <c r="N3" s="427"/>
      <c r="O3" s="427"/>
      <c r="P3" s="427"/>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13"/>
      <c r="BD3" s="13"/>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row>
    <row r="4" spans="1:85" ht="4.5" customHeight="1" x14ac:dyDescent="0.25">
      <c r="A4" s="104"/>
      <c r="B4" s="10"/>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3"/>
      <c r="BD4" s="13"/>
      <c r="BE4" s="106"/>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row>
    <row r="5" spans="1:85" ht="4.5" customHeight="1" x14ac:dyDescent="0.25">
      <c r="A5" s="104"/>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3"/>
      <c r="BD5" s="13"/>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row>
    <row r="6" spans="1:85" ht="155.25" customHeight="1" x14ac:dyDescent="0.25">
      <c r="A6" s="104"/>
      <c r="B6" s="10"/>
      <c r="C6" s="430" t="s">
        <v>705</v>
      </c>
      <c r="D6" s="430"/>
      <c r="E6" s="251">
        <f t="shared" ref="E6:AJ6" ca="1" si="0">IF((COLUMN()-4&lt;=NbObjectives),INDIRECT(ADDRESS(COLUMN()+9,3,1,1,"Objectives")),"")</f>
        <v>0</v>
      </c>
      <c r="F6" s="251">
        <f t="shared" ca="1" si="0"/>
        <v>0</v>
      </c>
      <c r="G6" s="251">
        <f t="shared" ca="1" si="0"/>
        <v>0</v>
      </c>
      <c r="H6" s="251" t="str">
        <f t="shared" ca="1" si="0"/>
        <v/>
      </c>
      <c r="I6" s="251" t="str">
        <f t="shared" ca="1" si="0"/>
        <v/>
      </c>
      <c r="J6" s="251" t="str">
        <f t="shared" ca="1" si="0"/>
        <v/>
      </c>
      <c r="K6" s="251" t="str">
        <f t="shared" ca="1" si="0"/>
        <v/>
      </c>
      <c r="L6" s="251" t="str">
        <f t="shared" ca="1" si="0"/>
        <v/>
      </c>
      <c r="M6" s="251" t="str">
        <f t="shared" ca="1" si="0"/>
        <v/>
      </c>
      <c r="N6" s="251" t="str">
        <f t="shared" ca="1" si="0"/>
        <v/>
      </c>
      <c r="O6" s="251" t="str">
        <f t="shared" ca="1" si="0"/>
        <v/>
      </c>
      <c r="P6" s="251" t="str">
        <f t="shared" ca="1" si="0"/>
        <v/>
      </c>
      <c r="Q6" s="251" t="str">
        <f t="shared" ca="1" si="0"/>
        <v/>
      </c>
      <c r="R6" s="251" t="str">
        <f t="shared" ca="1" si="0"/>
        <v/>
      </c>
      <c r="S6" s="251" t="str">
        <f t="shared" ca="1" si="0"/>
        <v/>
      </c>
      <c r="T6" s="251" t="str">
        <f t="shared" ca="1" si="0"/>
        <v/>
      </c>
      <c r="U6" s="251" t="str">
        <f t="shared" ca="1" si="0"/>
        <v/>
      </c>
      <c r="V6" s="251" t="str">
        <f t="shared" ca="1" si="0"/>
        <v/>
      </c>
      <c r="W6" s="251" t="str">
        <f t="shared" ca="1" si="0"/>
        <v/>
      </c>
      <c r="X6" s="251" t="str">
        <f t="shared" ca="1" si="0"/>
        <v/>
      </c>
      <c r="Y6" s="251" t="str">
        <f t="shared" ca="1" si="0"/>
        <v/>
      </c>
      <c r="Z6" s="251" t="str">
        <f t="shared" ca="1" si="0"/>
        <v/>
      </c>
      <c r="AA6" s="251" t="str">
        <f t="shared" ca="1" si="0"/>
        <v/>
      </c>
      <c r="AB6" s="251" t="str">
        <f t="shared" ca="1" si="0"/>
        <v/>
      </c>
      <c r="AC6" s="251" t="str">
        <f t="shared" ca="1" si="0"/>
        <v/>
      </c>
      <c r="AD6" s="251" t="str">
        <f t="shared" ca="1" si="0"/>
        <v/>
      </c>
      <c r="AE6" s="251" t="str">
        <f t="shared" ca="1" si="0"/>
        <v/>
      </c>
      <c r="AF6" s="251" t="str">
        <f t="shared" ca="1" si="0"/>
        <v/>
      </c>
      <c r="AG6" s="251" t="str">
        <f t="shared" ca="1" si="0"/>
        <v/>
      </c>
      <c r="AH6" s="251" t="str">
        <f t="shared" ca="1" si="0"/>
        <v/>
      </c>
      <c r="AI6" s="251" t="str">
        <f t="shared" ca="1" si="0"/>
        <v/>
      </c>
      <c r="AJ6" s="251" t="str">
        <f t="shared" ca="1" si="0"/>
        <v/>
      </c>
      <c r="AK6" s="251" t="str">
        <f t="shared" ref="AK6:BB6" ca="1" si="1">IF((COLUMN()-4&lt;=NbObjectives),INDIRECT(ADDRESS(COLUMN()+9,3,1,1,"Objectives")),"")</f>
        <v/>
      </c>
      <c r="AL6" s="251" t="str">
        <f t="shared" ca="1" si="1"/>
        <v/>
      </c>
      <c r="AM6" s="251" t="str">
        <f t="shared" ca="1" si="1"/>
        <v/>
      </c>
      <c r="AN6" s="251" t="str">
        <f t="shared" ca="1" si="1"/>
        <v/>
      </c>
      <c r="AO6" s="251" t="str">
        <f t="shared" ca="1" si="1"/>
        <v/>
      </c>
      <c r="AP6" s="251" t="str">
        <f t="shared" ca="1" si="1"/>
        <v/>
      </c>
      <c r="AQ6" s="251" t="str">
        <f t="shared" ca="1" si="1"/>
        <v/>
      </c>
      <c r="AR6" s="251" t="str">
        <f t="shared" ca="1" si="1"/>
        <v/>
      </c>
      <c r="AS6" s="251" t="str">
        <f t="shared" ca="1" si="1"/>
        <v/>
      </c>
      <c r="AT6" s="251" t="str">
        <f t="shared" ca="1" si="1"/>
        <v/>
      </c>
      <c r="AU6" s="251" t="str">
        <f t="shared" ca="1" si="1"/>
        <v/>
      </c>
      <c r="AV6" s="251" t="str">
        <f t="shared" ca="1" si="1"/>
        <v/>
      </c>
      <c r="AW6" s="251" t="str">
        <f t="shared" ca="1" si="1"/>
        <v/>
      </c>
      <c r="AX6" s="251" t="str">
        <f t="shared" ca="1" si="1"/>
        <v/>
      </c>
      <c r="AY6" s="251" t="str">
        <f t="shared" ca="1" si="1"/>
        <v/>
      </c>
      <c r="AZ6" s="251" t="str">
        <f t="shared" ca="1" si="1"/>
        <v/>
      </c>
      <c r="BA6" s="251" t="str">
        <f t="shared" ca="1" si="1"/>
        <v/>
      </c>
      <c r="BB6" s="251" t="str">
        <f t="shared" ca="1" si="1"/>
        <v/>
      </c>
      <c r="BC6" s="13"/>
      <c r="BD6" s="13"/>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row>
    <row r="7" spans="1:85" ht="60" customHeight="1" x14ac:dyDescent="0.25">
      <c r="A7" s="241"/>
      <c r="B7" s="152"/>
      <c r="C7" s="154" t="str">
        <f ca="1">RiskList!A2</f>
        <v>Company 101</v>
      </c>
      <c r="D7" s="154" t="str">
        <f ca="1">IF(RiskList!B2=0,"",RiskList!B2)</f>
        <v/>
      </c>
      <c r="E7" s="265"/>
      <c r="F7" s="265"/>
      <c r="G7" s="265"/>
      <c r="H7" s="265"/>
      <c r="I7" s="265"/>
      <c r="J7" s="265"/>
      <c r="K7" s="265"/>
      <c r="L7" s="265"/>
      <c r="M7" s="265"/>
      <c r="N7" s="265"/>
      <c r="O7" s="265"/>
      <c r="P7" s="265"/>
      <c r="Q7" s="265"/>
      <c r="R7" s="265"/>
      <c r="S7" s="265"/>
      <c r="T7" s="265"/>
      <c r="U7" s="265"/>
      <c r="V7" s="265"/>
      <c r="W7" s="265"/>
      <c r="X7" s="265"/>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162">
        <f t="shared" ref="BC7:BC38" si="2">COUNTA(E7:BB7)</f>
        <v>0</v>
      </c>
      <c r="BD7" s="162"/>
      <c r="BE7" s="241"/>
      <c r="BF7" s="241"/>
      <c r="BG7" s="241"/>
      <c r="BH7" s="241"/>
      <c r="BI7" s="241"/>
      <c r="BJ7" s="241"/>
      <c r="BK7" s="241"/>
      <c r="BL7" s="241"/>
      <c r="BM7" s="241"/>
      <c r="BN7" s="241"/>
      <c r="BO7" s="241"/>
      <c r="BP7" s="241"/>
      <c r="BQ7" s="241"/>
      <c r="BR7" s="241"/>
      <c r="BS7" s="241"/>
      <c r="BT7" s="241"/>
      <c r="BU7" s="241"/>
      <c r="BV7" s="104"/>
      <c r="BW7" s="241"/>
      <c r="BX7" s="241"/>
      <c r="BY7" s="241"/>
      <c r="BZ7" s="241"/>
      <c r="CA7" s="241"/>
      <c r="CB7" s="241"/>
      <c r="CC7" s="241"/>
      <c r="CD7" s="241"/>
      <c r="CE7" s="241"/>
      <c r="CF7" s="241"/>
      <c r="CG7" s="241"/>
    </row>
    <row r="8" spans="1:85" ht="60" customHeight="1" x14ac:dyDescent="0.25">
      <c r="A8" s="241"/>
      <c r="B8" s="152"/>
      <c r="C8" s="154" t="str">
        <f ca="1">RiskList!A3</f>
        <v>Company 102</v>
      </c>
      <c r="D8" s="154" t="str">
        <f ca="1">IF(RiskList!B3=0,"",RiskList!B3)</f>
        <v/>
      </c>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162">
        <f t="shared" si="2"/>
        <v>0</v>
      </c>
      <c r="BD8" s="162"/>
      <c r="BE8" s="241"/>
      <c r="BF8" s="241"/>
      <c r="BG8" s="241"/>
      <c r="BH8" s="241"/>
      <c r="BI8" s="241"/>
      <c r="BJ8" s="241"/>
      <c r="BK8" s="241"/>
      <c r="BL8" s="241"/>
      <c r="BM8" s="241"/>
      <c r="BN8" s="241"/>
      <c r="BO8" s="241"/>
      <c r="BP8" s="241"/>
      <c r="BQ8" s="241"/>
      <c r="BR8" s="241"/>
      <c r="BS8" s="241"/>
      <c r="BT8" s="241"/>
      <c r="BU8" s="241"/>
      <c r="BV8" s="104"/>
      <c r="BW8" s="241"/>
      <c r="BX8" s="241"/>
      <c r="BY8" s="241"/>
      <c r="BZ8" s="241"/>
      <c r="CA8" s="241"/>
      <c r="CB8" s="241"/>
      <c r="CC8" s="241"/>
      <c r="CD8" s="241"/>
      <c r="CE8" s="241"/>
      <c r="CF8" s="241"/>
      <c r="CG8" s="241"/>
    </row>
    <row r="9" spans="1:85" ht="60" customHeight="1" x14ac:dyDescent="0.25">
      <c r="A9" s="241"/>
      <c r="B9" s="152"/>
      <c r="C9" s="154" t="str">
        <f ca="1">RiskList!A4</f>
        <v>Company 103</v>
      </c>
      <c r="D9" s="154" t="str">
        <f ca="1">IF(RiskList!B4=0,"",RiskList!B4)</f>
        <v/>
      </c>
      <c r="E9" s="265"/>
      <c r="F9" s="265"/>
      <c r="G9" s="265"/>
      <c r="H9" s="265"/>
      <c r="I9" s="265"/>
      <c r="J9" s="265"/>
      <c r="K9" s="265"/>
      <c r="L9" s="265"/>
      <c r="M9" s="265"/>
      <c r="N9" s="265"/>
      <c r="O9" s="265"/>
      <c r="P9" s="265"/>
      <c r="Q9" s="265"/>
      <c r="R9" s="265"/>
      <c r="S9" s="265"/>
      <c r="T9" s="265"/>
      <c r="U9" s="265"/>
      <c r="V9" s="265"/>
      <c r="W9" s="265"/>
      <c r="X9" s="265"/>
      <c r="Y9" s="265"/>
      <c r="Z9" s="265"/>
      <c r="AA9" s="265"/>
      <c r="AB9" s="265"/>
      <c r="AC9" s="265"/>
      <c r="AD9" s="265"/>
      <c r="AE9" s="265"/>
      <c r="AF9" s="265"/>
      <c r="AG9" s="265"/>
      <c r="AH9" s="265"/>
      <c r="AI9" s="265"/>
      <c r="AJ9" s="265"/>
      <c r="AK9" s="265"/>
      <c r="AL9" s="265"/>
      <c r="AM9" s="265"/>
      <c r="AN9" s="265"/>
      <c r="AO9" s="265"/>
      <c r="AP9" s="265"/>
      <c r="AQ9" s="265"/>
      <c r="AR9" s="265"/>
      <c r="AS9" s="265"/>
      <c r="AT9" s="265"/>
      <c r="AU9" s="265"/>
      <c r="AV9" s="265"/>
      <c r="AW9" s="265"/>
      <c r="AX9" s="265"/>
      <c r="AY9" s="265"/>
      <c r="AZ9" s="265"/>
      <c r="BA9" s="265"/>
      <c r="BB9" s="265"/>
      <c r="BC9" s="162">
        <f t="shared" si="2"/>
        <v>0</v>
      </c>
      <c r="BD9" s="162"/>
      <c r="BE9" s="241"/>
      <c r="BF9" s="241"/>
      <c r="BG9" s="241"/>
      <c r="BH9" s="241"/>
      <c r="BI9" s="241"/>
      <c r="BJ9" s="241"/>
      <c r="BK9" s="241"/>
      <c r="BL9" s="241"/>
      <c r="BM9" s="241"/>
      <c r="BN9" s="241"/>
      <c r="BO9" s="241"/>
      <c r="BP9" s="241"/>
      <c r="BQ9" s="241"/>
      <c r="BR9" s="241"/>
      <c r="BS9" s="241"/>
      <c r="BT9" s="241"/>
      <c r="BU9" s="241"/>
      <c r="BV9" s="104"/>
      <c r="BW9" s="241"/>
      <c r="BX9" s="241"/>
      <c r="BY9" s="241"/>
      <c r="BZ9" s="241"/>
      <c r="CA9" s="241"/>
      <c r="CB9" s="241"/>
      <c r="CC9" s="241"/>
      <c r="CD9" s="241"/>
      <c r="CE9" s="241"/>
      <c r="CF9" s="241"/>
      <c r="CG9" s="241"/>
    </row>
    <row r="10" spans="1:85" ht="60" customHeight="1" x14ac:dyDescent="0.25">
      <c r="A10" s="241"/>
      <c r="B10" s="152"/>
      <c r="C10" s="154" t="str">
        <f ca="1">RiskList!A5</f>
        <v>Company 104</v>
      </c>
      <c r="D10" s="154" t="str">
        <f ca="1">IF(RiskList!B5=0,"",RiskList!B5)</f>
        <v/>
      </c>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5"/>
      <c r="AU10" s="265"/>
      <c r="AV10" s="265"/>
      <c r="AW10" s="265"/>
      <c r="AX10" s="265"/>
      <c r="AY10" s="265"/>
      <c r="AZ10" s="265"/>
      <c r="BA10" s="265"/>
      <c r="BB10" s="265"/>
      <c r="BC10" s="162">
        <f t="shared" si="2"/>
        <v>0</v>
      </c>
      <c r="BD10" s="162"/>
      <c r="BE10" s="241"/>
      <c r="BF10" s="241"/>
      <c r="BG10" s="241"/>
      <c r="BH10" s="241"/>
      <c r="BI10" s="241"/>
      <c r="BJ10" s="241"/>
      <c r="BK10" s="241"/>
      <c r="BL10" s="241"/>
      <c r="BM10" s="241"/>
      <c r="BN10" s="241"/>
      <c r="BO10" s="241"/>
      <c r="BP10" s="241"/>
      <c r="BQ10" s="241"/>
      <c r="BR10" s="241"/>
      <c r="BS10" s="241"/>
      <c r="BT10" s="241"/>
      <c r="BU10" s="241"/>
      <c r="BV10" s="104"/>
      <c r="BW10" s="241"/>
      <c r="BX10" s="241"/>
      <c r="BY10" s="241"/>
      <c r="BZ10" s="241"/>
      <c r="CA10" s="241"/>
      <c r="CB10" s="241"/>
      <c r="CC10" s="241"/>
      <c r="CD10" s="241"/>
      <c r="CE10" s="241"/>
      <c r="CF10" s="241"/>
      <c r="CG10" s="241"/>
    </row>
    <row r="11" spans="1:85" ht="60" customHeight="1" x14ac:dyDescent="0.25">
      <c r="A11" s="241"/>
      <c r="B11" s="152"/>
      <c r="C11" s="154" t="str">
        <f ca="1">RiskList!A6</f>
        <v>Company 105</v>
      </c>
      <c r="D11" s="154" t="str">
        <f ca="1">IF(RiskList!B6=0,"",RiskList!B6)</f>
        <v/>
      </c>
      <c r="E11" s="265"/>
      <c r="F11" s="265"/>
      <c r="G11" s="265"/>
      <c r="H11" s="265"/>
      <c r="I11" s="265"/>
      <c r="J11" s="265"/>
      <c r="K11" s="265"/>
      <c r="L11" s="265"/>
      <c r="M11" s="265"/>
      <c r="N11" s="265"/>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162">
        <f t="shared" si="2"/>
        <v>0</v>
      </c>
      <c r="BD11" s="162"/>
      <c r="BE11" s="241"/>
      <c r="BF11" s="241"/>
      <c r="BG11" s="241"/>
      <c r="BH11" s="241"/>
      <c r="BI11" s="241"/>
      <c r="BJ11" s="241"/>
      <c r="BK11" s="241"/>
      <c r="BL11" s="241"/>
      <c r="BM11" s="241"/>
      <c r="BN11" s="241"/>
      <c r="BO11" s="241"/>
      <c r="BP11" s="241"/>
      <c r="BQ11" s="241"/>
      <c r="BR11" s="241"/>
      <c r="BS11" s="241"/>
      <c r="BT11" s="241"/>
      <c r="BU11" s="241"/>
      <c r="BV11" s="104"/>
      <c r="BW11" s="241"/>
      <c r="BX11" s="241"/>
      <c r="BY11" s="241"/>
      <c r="BZ11" s="241"/>
      <c r="CA11" s="241"/>
      <c r="CB11" s="241"/>
      <c r="CC11" s="241"/>
      <c r="CD11" s="241"/>
      <c r="CE11" s="241"/>
      <c r="CF11" s="241"/>
      <c r="CG11" s="241"/>
    </row>
    <row r="12" spans="1:85" ht="60" customHeight="1" x14ac:dyDescent="0.25">
      <c r="A12" s="241"/>
      <c r="B12" s="152"/>
      <c r="C12" s="154" t="str">
        <f ca="1">RiskList!A7</f>
        <v>Company 106</v>
      </c>
      <c r="D12" s="154" t="str">
        <f ca="1">IF(RiskList!B7=0,"",RiskList!B7)</f>
        <v/>
      </c>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162">
        <f t="shared" si="2"/>
        <v>0</v>
      </c>
      <c r="BD12" s="162"/>
      <c r="BE12" s="241"/>
      <c r="BF12" s="241"/>
      <c r="BG12" s="241"/>
      <c r="BH12" s="241"/>
      <c r="BI12" s="241"/>
      <c r="BJ12" s="241"/>
      <c r="BK12" s="241"/>
      <c r="BL12" s="241"/>
      <c r="BM12" s="241"/>
      <c r="BN12" s="241"/>
      <c r="BO12" s="241"/>
      <c r="BP12" s="241"/>
      <c r="BQ12" s="241"/>
      <c r="BR12" s="241"/>
      <c r="BS12" s="241"/>
      <c r="BT12" s="241"/>
      <c r="BU12" s="241"/>
      <c r="BV12" s="104"/>
      <c r="BW12" s="241"/>
      <c r="BX12" s="241"/>
      <c r="BY12" s="241"/>
      <c r="BZ12" s="241"/>
      <c r="CA12" s="241"/>
      <c r="CB12" s="241"/>
      <c r="CC12" s="241"/>
      <c r="CD12" s="241"/>
      <c r="CE12" s="241"/>
      <c r="CF12" s="241"/>
      <c r="CG12" s="241"/>
    </row>
    <row r="13" spans="1:85" ht="60" customHeight="1" x14ac:dyDescent="0.25">
      <c r="A13" s="241"/>
      <c r="B13" s="152"/>
      <c r="C13" s="154" t="str">
        <f ca="1">RiskList!A8</f>
        <v>Company 107</v>
      </c>
      <c r="D13" s="154" t="str">
        <f ca="1">IF(RiskList!B8=0,"",RiskList!B8)</f>
        <v/>
      </c>
      <c r="E13" s="265"/>
      <c r="F13" s="265"/>
      <c r="G13" s="265"/>
      <c r="H13" s="265"/>
      <c r="I13" s="265"/>
      <c r="J13" s="265"/>
      <c r="K13" s="265"/>
      <c r="L13" s="265"/>
      <c r="M13" s="265"/>
      <c r="N13" s="265"/>
      <c r="O13" s="265"/>
      <c r="P13" s="265"/>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162">
        <f t="shared" si="2"/>
        <v>0</v>
      </c>
      <c r="BD13" s="162"/>
      <c r="BE13" s="241"/>
      <c r="BF13" s="241"/>
      <c r="BG13" s="241"/>
      <c r="BH13" s="241"/>
      <c r="BI13" s="241"/>
      <c r="BJ13" s="241"/>
      <c r="BK13" s="241"/>
      <c r="BL13" s="241"/>
      <c r="BM13" s="241"/>
      <c r="BN13" s="241"/>
      <c r="BO13" s="241"/>
      <c r="BP13" s="241"/>
      <c r="BQ13" s="241"/>
      <c r="BR13" s="241"/>
      <c r="BS13" s="241"/>
      <c r="BT13" s="241"/>
      <c r="BU13" s="241"/>
      <c r="BV13" s="104"/>
      <c r="BW13" s="241"/>
      <c r="BX13" s="241"/>
      <c r="BY13" s="241"/>
      <c r="BZ13" s="241"/>
      <c r="CA13" s="241"/>
      <c r="CB13" s="241"/>
      <c r="CC13" s="241"/>
      <c r="CD13" s="241"/>
      <c r="CE13" s="241"/>
      <c r="CF13" s="241"/>
      <c r="CG13" s="241"/>
    </row>
    <row r="14" spans="1:85" ht="60" customHeight="1" x14ac:dyDescent="0.25">
      <c r="A14" s="241"/>
      <c r="B14" s="152"/>
      <c r="C14" s="154" t="str">
        <f ca="1">RiskList!A9</f>
        <v>Company 108</v>
      </c>
      <c r="D14" s="154" t="str">
        <f ca="1">IF(RiskList!B9=0,"",RiskList!B9)</f>
        <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162">
        <f t="shared" si="2"/>
        <v>0</v>
      </c>
      <c r="BD14" s="162"/>
      <c r="BE14" s="241"/>
      <c r="BF14" s="241"/>
      <c r="BG14" s="241"/>
      <c r="BH14" s="241"/>
      <c r="BI14" s="241"/>
      <c r="BJ14" s="241"/>
      <c r="BK14" s="241"/>
      <c r="BL14" s="241"/>
      <c r="BM14" s="241"/>
      <c r="BN14" s="241"/>
      <c r="BO14" s="241"/>
      <c r="BP14" s="241"/>
      <c r="BQ14" s="241"/>
      <c r="BR14" s="241"/>
      <c r="BS14" s="241"/>
      <c r="BT14" s="241"/>
      <c r="BU14" s="241"/>
      <c r="BV14" s="104"/>
      <c r="BW14" s="241"/>
      <c r="BX14" s="241"/>
      <c r="BY14" s="241"/>
      <c r="BZ14" s="241"/>
      <c r="CA14" s="241"/>
      <c r="CB14" s="241"/>
      <c r="CC14" s="241"/>
      <c r="CD14" s="241"/>
      <c r="CE14" s="241"/>
      <c r="CF14" s="241"/>
      <c r="CG14" s="241"/>
    </row>
    <row r="15" spans="1:85" ht="60" customHeight="1" x14ac:dyDescent="0.25">
      <c r="A15" s="241"/>
      <c r="B15" s="152"/>
      <c r="C15" s="154" t="str">
        <f ca="1">RiskList!A10</f>
        <v>Company 109</v>
      </c>
      <c r="D15" s="154" t="str">
        <f ca="1">IF(RiskList!B10=0,"",RiskList!B10)</f>
        <v/>
      </c>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162">
        <f t="shared" si="2"/>
        <v>0</v>
      </c>
      <c r="BD15" s="162"/>
      <c r="BE15" s="241"/>
      <c r="BF15" s="241"/>
      <c r="BG15" s="241"/>
      <c r="BH15" s="241"/>
      <c r="BI15" s="241"/>
      <c r="BJ15" s="241"/>
      <c r="BK15" s="241"/>
      <c r="BL15" s="241"/>
      <c r="BM15" s="241"/>
      <c r="BN15" s="241"/>
      <c r="BO15" s="241"/>
      <c r="BP15" s="241"/>
      <c r="BQ15" s="241"/>
      <c r="BR15" s="241"/>
      <c r="BS15" s="241"/>
      <c r="BT15" s="241"/>
      <c r="BU15" s="241"/>
      <c r="BV15" s="104"/>
      <c r="BW15" s="241"/>
      <c r="BX15" s="241"/>
      <c r="BY15" s="241"/>
      <c r="BZ15" s="241"/>
      <c r="CA15" s="241"/>
      <c r="CB15" s="241"/>
      <c r="CC15" s="241"/>
      <c r="CD15" s="241"/>
      <c r="CE15" s="241"/>
      <c r="CF15" s="241"/>
      <c r="CG15" s="241"/>
    </row>
    <row r="16" spans="1:85" ht="60" customHeight="1" x14ac:dyDescent="0.25">
      <c r="A16" s="241"/>
      <c r="B16" s="152"/>
      <c r="C16" s="154" t="str">
        <f ca="1">RiskList!A11</f>
        <v>Company 110</v>
      </c>
      <c r="D16" s="154" t="str">
        <f ca="1">IF(RiskList!B11=0,"",RiskList!B11)</f>
        <v/>
      </c>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162">
        <f t="shared" si="2"/>
        <v>0</v>
      </c>
      <c r="BD16" s="162"/>
      <c r="BE16" s="241"/>
      <c r="BF16" s="241"/>
      <c r="BG16" s="241"/>
      <c r="BH16" s="241"/>
      <c r="BI16" s="241"/>
      <c r="BJ16" s="241"/>
      <c r="BK16" s="241"/>
      <c r="BL16" s="241"/>
      <c r="BM16" s="241"/>
      <c r="BN16" s="241"/>
      <c r="BO16" s="241"/>
      <c r="BP16" s="241"/>
      <c r="BQ16" s="241"/>
      <c r="BR16" s="241"/>
      <c r="BS16" s="241"/>
      <c r="BT16" s="241"/>
      <c r="BU16" s="241"/>
      <c r="BV16" s="104"/>
      <c r="BW16" s="241"/>
      <c r="BX16" s="241"/>
      <c r="BY16" s="241"/>
      <c r="BZ16" s="241"/>
      <c r="CA16" s="241"/>
      <c r="CB16" s="241"/>
      <c r="CC16" s="241"/>
      <c r="CD16" s="241"/>
      <c r="CE16" s="241"/>
      <c r="CF16" s="241"/>
      <c r="CG16" s="241"/>
    </row>
    <row r="17" spans="2:56" ht="60" customHeight="1" x14ac:dyDescent="0.25">
      <c r="B17" s="152"/>
      <c r="C17" s="154" t="str">
        <f ca="1">RiskList!A12</f>
        <v>Company 111</v>
      </c>
      <c r="D17" s="154" t="str">
        <f ca="1">IF(RiskList!B12=0,"",RiskList!B12)</f>
        <v/>
      </c>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162">
        <f t="shared" si="2"/>
        <v>0</v>
      </c>
      <c r="BD17" s="162"/>
    </row>
    <row r="18" spans="2:56" ht="60" customHeight="1" x14ac:dyDescent="0.25">
      <c r="B18" s="152"/>
      <c r="C18" s="154" t="str">
        <f ca="1">RiskList!A13</f>
        <v>Company 112</v>
      </c>
      <c r="D18" s="154" t="str">
        <f ca="1">IF(RiskList!B13=0,"",RiskList!B13)</f>
        <v/>
      </c>
      <c r="E18" s="265"/>
      <c r="F18" s="265"/>
      <c r="G18" s="265"/>
      <c r="H18" s="265"/>
      <c r="I18" s="265"/>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5"/>
      <c r="AO18" s="265"/>
      <c r="AP18" s="265"/>
      <c r="AQ18" s="265"/>
      <c r="AR18" s="265"/>
      <c r="AS18" s="265"/>
      <c r="AT18" s="265"/>
      <c r="AU18" s="265"/>
      <c r="AV18" s="265"/>
      <c r="AW18" s="265"/>
      <c r="AX18" s="265"/>
      <c r="AY18" s="265"/>
      <c r="AZ18" s="265"/>
      <c r="BA18" s="265"/>
      <c r="BB18" s="265"/>
      <c r="BC18" s="162">
        <f t="shared" si="2"/>
        <v>0</v>
      </c>
      <c r="BD18" s="162"/>
    </row>
    <row r="19" spans="2:56" ht="18.75" customHeight="1" x14ac:dyDescent="0.25">
      <c r="B19" s="152"/>
      <c r="C19" s="154" t="str">
        <f ca="1">RiskList!A14</f>
        <v>Company 113</v>
      </c>
      <c r="D19" s="154" t="str">
        <f ca="1">IF(RiskList!B14=0,"",RiskList!B14)</f>
        <v/>
      </c>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162">
        <f t="shared" si="2"/>
        <v>0</v>
      </c>
      <c r="BD19" s="162"/>
    </row>
    <row r="20" spans="2:56" ht="18.75" customHeight="1" x14ac:dyDescent="0.25">
      <c r="B20" s="152"/>
      <c r="C20" s="154" t="str">
        <f ca="1">RiskList!A15</f>
        <v>Company 114</v>
      </c>
      <c r="D20" s="154" t="str">
        <f ca="1">IF(RiskList!B15=0,"",RiskList!B15)</f>
        <v/>
      </c>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162">
        <f t="shared" si="2"/>
        <v>0</v>
      </c>
      <c r="BD20" s="162"/>
    </row>
    <row r="21" spans="2:56" ht="18.75" customHeight="1" x14ac:dyDescent="0.25">
      <c r="B21" s="152"/>
      <c r="C21" s="154" t="str">
        <f ca="1">RiskList!A16</f>
        <v>Company 115</v>
      </c>
      <c r="D21" s="154" t="str">
        <f ca="1">IF(RiskList!B16=0,"",RiskList!B16)</f>
        <v/>
      </c>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162">
        <f t="shared" si="2"/>
        <v>0</v>
      </c>
      <c r="BD21" s="162"/>
    </row>
    <row r="22" spans="2:56" ht="18.75" customHeight="1" x14ac:dyDescent="0.25">
      <c r="B22" s="152"/>
      <c r="C22" s="154" t="str">
        <f ca="1">RiskList!A17</f>
        <v>Company 116</v>
      </c>
      <c r="D22" s="154" t="str">
        <f ca="1">IF(RiskList!B17=0,"",RiskList!B17)</f>
        <v/>
      </c>
      <c r="E22" s="265"/>
      <c r="F22" s="265"/>
      <c r="G22" s="265"/>
      <c r="H22" s="265"/>
      <c r="I22" s="265"/>
      <c r="J22" s="265"/>
      <c r="K22" s="265"/>
      <c r="L22" s="265"/>
      <c r="M22" s="265"/>
      <c r="N22" s="265"/>
      <c r="O22" s="265"/>
      <c r="P22" s="265"/>
      <c r="Q22" s="265"/>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AY22" s="265"/>
      <c r="AZ22" s="265"/>
      <c r="BA22" s="265"/>
      <c r="BB22" s="265"/>
      <c r="BC22" s="162">
        <f t="shared" si="2"/>
        <v>0</v>
      </c>
      <c r="BD22" s="162"/>
    </row>
    <row r="23" spans="2:56" ht="18.75" customHeight="1" x14ac:dyDescent="0.25">
      <c r="B23" s="152"/>
      <c r="C23" s="154" t="str">
        <f ca="1">RiskList!A18</f>
        <v>Company 117</v>
      </c>
      <c r="D23" s="154" t="str">
        <f ca="1">IF(RiskList!B18=0,"",RiskList!B18)</f>
        <v/>
      </c>
      <c r="E23" s="265"/>
      <c r="F23" s="265"/>
      <c r="G23" s="265"/>
      <c r="H23" s="265"/>
      <c r="I23" s="265"/>
      <c r="J23" s="265"/>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5"/>
      <c r="AZ23" s="265"/>
      <c r="BA23" s="265"/>
      <c r="BB23" s="265"/>
      <c r="BC23" s="162">
        <f t="shared" si="2"/>
        <v>0</v>
      </c>
      <c r="BD23" s="162"/>
    </row>
    <row r="24" spans="2:56" ht="18.75" customHeight="1" x14ac:dyDescent="0.25">
      <c r="B24" s="152"/>
      <c r="C24" s="154" t="str">
        <f ca="1">RiskList!A19</f>
        <v>Company 118</v>
      </c>
      <c r="D24" s="154" t="str">
        <f ca="1">IF(RiskList!B19=0,"",RiskList!B19)</f>
        <v/>
      </c>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162">
        <f t="shared" si="2"/>
        <v>0</v>
      </c>
      <c r="BD24" s="162"/>
    </row>
    <row r="25" spans="2:56" ht="18.75" customHeight="1" x14ac:dyDescent="0.25">
      <c r="B25" s="152"/>
      <c r="C25" s="154" t="str">
        <f ca="1">RiskList!A20</f>
        <v>Company 119</v>
      </c>
      <c r="D25" s="154" t="str">
        <f ca="1">IF(RiskList!B20=0,"",RiskList!B20)</f>
        <v/>
      </c>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AY25" s="265"/>
      <c r="AZ25" s="265"/>
      <c r="BA25" s="265"/>
      <c r="BB25" s="265"/>
      <c r="BC25" s="162">
        <f t="shared" si="2"/>
        <v>0</v>
      </c>
      <c r="BD25" s="162"/>
    </row>
    <row r="26" spans="2:56" ht="18.75" customHeight="1" x14ac:dyDescent="0.25">
      <c r="B26" s="152"/>
      <c r="C26" s="154" t="str">
        <f ca="1">RiskList!A21</f>
        <v>Company 120</v>
      </c>
      <c r="D26" s="154" t="str">
        <f ca="1">IF(RiskList!B21=0,"",RiskList!B21)</f>
        <v/>
      </c>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162">
        <f t="shared" si="2"/>
        <v>0</v>
      </c>
      <c r="BD26" s="162"/>
    </row>
    <row r="27" spans="2:56" ht="18.75" customHeight="1" x14ac:dyDescent="0.25">
      <c r="B27" s="152"/>
      <c r="C27" s="154" t="str">
        <f ca="1">RiskList!A22</f>
        <v>Company 121</v>
      </c>
      <c r="D27" s="154" t="str">
        <f ca="1">IF(RiskList!B22=0,"",RiskList!B22)</f>
        <v/>
      </c>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162">
        <f t="shared" si="2"/>
        <v>0</v>
      </c>
      <c r="BD27" s="162"/>
    </row>
    <row r="28" spans="2:56" ht="18.75" customHeight="1" x14ac:dyDescent="0.25">
      <c r="B28" s="152"/>
      <c r="C28" s="154" t="str">
        <f ca="1">RiskList!A23</f>
        <v>Company 122</v>
      </c>
      <c r="D28" s="154" t="str">
        <f ca="1">IF(RiskList!B23=0,"",RiskList!B23)</f>
        <v/>
      </c>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162">
        <f t="shared" si="2"/>
        <v>0</v>
      </c>
      <c r="BD28" s="162"/>
    </row>
    <row r="29" spans="2:56" ht="18.75" customHeight="1" x14ac:dyDescent="0.25">
      <c r="B29" s="152"/>
      <c r="C29" s="154" t="str">
        <f ca="1">RiskList!A24</f>
        <v>Company 123</v>
      </c>
      <c r="D29" s="154" t="str">
        <f ca="1">IF(RiskList!B24=0,"",RiskList!B24)</f>
        <v/>
      </c>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5"/>
      <c r="AY29" s="265"/>
      <c r="AZ29" s="265"/>
      <c r="BA29" s="265"/>
      <c r="BB29" s="265"/>
      <c r="BC29" s="162">
        <f t="shared" si="2"/>
        <v>0</v>
      </c>
      <c r="BD29" s="162"/>
    </row>
    <row r="30" spans="2:56" ht="18.75" customHeight="1" x14ac:dyDescent="0.25">
      <c r="B30" s="152"/>
      <c r="C30" s="154" t="str">
        <f ca="1">RiskList!A25</f>
        <v>Company 124</v>
      </c>
      <c r="D30" s="154" t="str">
        <f ca="1">IF(RiskList!B25=0,"",RiskList!B25)</f>
        <v/>
      </c>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162">
        <f t="shared" si="2"/>
        <v>0</v>
      </c>
      <c r="BD30" s="162"/>
    </row>
    <row r="31" spans="2:56" ht="18.75" customHeight="1" x14ac:dyDescent="0.25">
      <c r="B31" s="152"/>
      <c r="C31" s="154" t="str">
        <f ca="1">RiskList!A26</f>
        <v>Company 125</v>
      </c>
      <c r="D31" s="154" t="str">
        <f ca="1">IF(RiskList!B26=0,"",RiskList!B26)</f>
        <v/>
      </c>
      <c r="E31" s="265"/>
      <c r="F31" s="265"/>
      <c r="G31" s="265"/>
      <c r="H31" s="265"/>
      <c r="I31" s="265"/>
      <c r="J31" s="265"/>
      <c r="K31" s="265"/>
      <c r="L31" s="265"/>
      <c r="M31" s="265"/>
      <c r="N31" s="265"/>
      <c r="O31" s="265"/>
      <c r="P31" s="265"/>
      <c r="Q31" s="265"/>
      <c r="R31" s="265"/>
      <c r="S31" s="265"/>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AY31" s="265"/>
      <c r="AZ31" s="265"/>
      <c r="BA31" s="265"/>
      <c r="BB31" s="265"/>
      <c r="BC31" s="162">
        <f t="shared" si="2"/>
        <v>0</v>
      </c>
      <c r="BD31" s="162"/>
    </row>
    <row r="32" spans="2:56" ht="18.75" customHeight="1" x14ac:dyDescent="0.25">
      <c r="B32" s="152"/>
      <c r="C32" s="154" t="str">
        <f ca="1">RiskList!A27</f>
        <v>Company 126</v>
      </c>
      <c r="D32" s="154" t="str">
        <f ca="1">IF(RiskList!B27=0,"",RiskList!B27)</f>
        <v/>
      </c>
      <c r="E32" s="265"/>
      <c r="F32" s="265"/>
      <c r="G32" s="265"/>
      <c r="H32" s="265"/>
      <c r="I32" s="265"/>
      <c r="J32" s="265"/>
      <c r="K32" s="265"/>
      <c r="L32" s="265"/>
      <c r="M32" s="265"/>
      <c r="N32" s="265"/>
      <c r="O32" s="265"/>
      <c r="P32" s="265"/>
      <c r="Q32" s="265"/>
      <c r="R32" s="265"/>
      <c r="S32" s="265"/>
      <c r="T32" s="265"/>
      <c r="U32" s="265"/>
      <c r="V32" s="265"/>
      <c r="W32" s="265"/>
      <c r="X32" s="265"/>
      <c r="Y32" s="265"/>
      <c r="Z32" s="265"/>
      <c r="AA32" s="265"/>
      <c r="AB32" s="265"/>
      <c r="AC32" s="265"/>
      <c r="AD32" s="265"/>
      <c r="AE32" s="265"/>
      <c r="AF32" s="265"/>
      <c r="AG32" s="265"/>
      <c r="AH32" s="265"/>
      <c r="AI32" s="265"/>
      <c r="AJ32" s="265"/>
      <c r="AK32" s="265"/>
      <c r="AL32" s="265"/>
      <c r="AM32" s="265"/>
      <c r="AN32" s="265"/>
      <c r="AO32" s="265"/>
      <c r="AP32" s="265"/>
      <c r="AQ32" s="265"/>
      <c r="AR32" s="265"/>
      <c r="AS32" s="265"/>
      <c r="AT32" s="265"/>
      <c r="AU32" s="265"/>
      <c r="AV32" s="265"/>
      <c r="AW32" s="265"/>
      <c r="AX32" s="265"/>
      <c r="AY32" s="265"/>
      <c r="AZ32" s="265"/>
      <c r="BA32" s="265"/>
      <c r="BB32" s="265"/>
      <c r="BC32" s="162">
        <f t="shared" si="2"/>
        <v>0</v>
      </c>
      <c r="BD32" s="162"/>
    </row>
    <row r="33" spans="2:56" ht="18.75" customHeight="1" x14ac:dyDescent="0.25">
      <c r="B33" s="152"/>
      <c r="C33" s="154" t="str">
        <f ca="1">RiskList!A28</f>
        <v>Company 127</v>
      </c>
      <c r="D33" s="154" t="str">
        <f ca="1">IF(RiskList!B28=0,"",RiskList!B28)</f>
        <v/>
      </c>
      <c r="E33" s="265"/>
      <c r="F33" s="265"/>
      <c r="G33" s="265"/>
      <c r="H33" s="265"/>
      <c r="I33" s="265"/>
      <c r="J33" s="265"/>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c r="AR33" s="265"/>
      <c r="AS33" s="265"/>
      <c r="AT33" s="265"/>
      <c r="AU33" s="265"/>
      <c r="AV33" s="265"/>
      <c r="AW33" s="265"/>
      <c r="AX33" s="265"/>
      <c r="AY33" s="265"/>
      <c r="AZ33" s="265"/>
      <c r="BA33" s="265"/>
      <c r="BB33" s="265"/>
      <c r="BC33" s="162">
        <f t="shared" si="2"/>
        <v>0</v>
      </c>
      <c r="BD33" s="162"/>
    </row>
    <row r="34" spans="2:56" ht="18.75" customHeight="1" x14ac:dyDescent="0.25">
      <c r="B34" s="152"/>
      <c r="C34" s="154" t="str">
        <f ca="1">RiskList!A29</f>
        <v>Company 128</v>
      </c>
      <c r="D34" s="154" t="str">
        <f ca="1">IF(RiskList!B29=0,"",RiskList!B29)</f>
        <v/>
      </c>
      <c r="E34" s="265"/>
      <c r="F34" s="265"/>
      <c r="G34" s="265"/>
      <c r="H34" s="265"/>
      <c r="I34" s="265"/>
      <c r="J34" s="265"/>
      <c r="K34" s="265"/>
      <c r="L34" s="265"/>
      <c r="M34" s="265"/>
      <c r="N34" s="265"/>
      <c r="O34" s="265"/>
      <c r="P34" s="265"/>
      <c r="Q34" s="265"/>
      <c r="R34" s="265"/>
      <c r="S34" s="265"/>
      <c r="T34" s="265"/>
      <c r="U34" s="265"/>
      <c r="V34" s="265"/>
      <c r="W34" s="265"/>
      <c r="X34" s="265"/>
      <c r="Y34" s="265"/>
      <c r="Z34" s="265"/>
      <c r="AA34" s="265"/>
      <c r="AB34" s="265"/>
      <c r="AC34" s="265"/>
      <c r="AD34" s="265"/>
      <c r="AE34" s="265"/>
      <c r="AF34" s="265"/>
      <c r="AG34" s="265"/>
      <c r="AH34" s="265"/>
      <c r="AI34" s="265"/>
      <c r="AJ34" s="265"/>
      <c r="AK34" s="265"/>
      <c r="AL34" s="265"/>
      <c r="AM34" s="265"/>
      <c r="AN34" s="265"/>
      <c r="AO34" s="265"/>
      <c r="AP34" s="265"/>
      <c r="AQ34" s="265"/>
      <c r="AR34" s="265"/>
      <c r="AS34" s="265"/>
      <c r="AT34" s="265"/>
      <c r="AU34" s="265"/>
      <c r="AV34" s="265"/>
      <c r="AW34" s="265"/>
      <c r="AX34" s="265"/>
      <c r="AY34" s="265"/>
      <c r="AZ34" s="265"/>
      <c r="BA34" s="265"/>
      <c r="BB34" s="265"/>
      <c r="BC34" s="162">
        <f t="shared" si="2"/>
        <v>0</v>
      </c>
      <c r="BD34" s="162"/>
    </row>
    <row r="35" spans="2:56" ht="18.75" customHeight="1" x14ac:dyDescent="0.25">
      <c r="B35" s="152"/>
      <c r="C35" s="154" t="str">
        <f ca="1">RiskList!A30</f>
        <v>Company 129</v>
      </c>
      <c r="D35" s="154" t="str">
        <f ca="1">IF(RiskList!B30=0,"",RiskList!B30)</f>
        <v/>
      </c>
      <c r="E35" s="265"/>
      <c r="F35" s="265"/>
      <c r="G35" s="265"/>
      <c r="H35" s="265"/>
      <c r="I35" s="265"/>
      <c r="J35" s="265"/>
      <c r="K35" s="265"/>
      <c r="L35" s="265"/>
      <c r="M35" s="265"/>
      <c r="N35" s="265"/>
      <c r="O35" s="265"/>
      <c r="P35" s="265"/>
      <c r="Q35" s="265"/>
      <c r="R35" s="265"/>
      <c r="S35" s="265"/>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5"/>
      <c r="AX35" s="265"/>
      <c r="AY35" s="265"/>
      <c r="AZ35" s="265"/>
      <c r="BA35" s="265"/>
      <c r="BB35" s="265"/>
      <c r="BC35" s="162">
        <f t="shared" si="2"/>
        <v>0</v>
      </c>
      <c r="BD35" s="162"/>
    </row>
    <row r="36" spans="2:56" ht="18.75" customHeight="1" x14ac:dyDescent="0.25">
      <c r="B36" s="152"/>
      <c r="C36" s="154" t="str">
        <f ca="1">RiskList!A31</f>
        <v>Company 130</v>
      </c>
      <c r="D36" s="154" t="str">
        <f ca="1">IF(RiskList!B31=0,"",RiskList!B31)</f>
        <v/>
      </c>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5"/>
      <c r="AY36" s="265"/>
      <c r="AZ36" s="265"/>
      <c r="BA36" s="265"/>
      <c r="BB36" s="265"/>
      <c r="BC36" s="162">
        <f t="shared" si="2"/>
        <v>0</v>
      </c>
      <c r="BD36" s="162"/>
    </row>
    <row r="37" spans="2:56" ht="18.75" customHeight="1" x14ac:dyDescent="0.25">
      <c r="B37" s="152"/>
      <c r="C37" s="154" t="str">
        <f ca="1">RiskList!A32</f>
        <v>Company 131</v>
      </c>
      <c r="D37" s="154" t="str">
        <f ca="1">IF(RiskList!B32=0,"",RiskList!B32)</f>
        <v/>
      </c>
      <c r="E37" s="265"/>
      <c r="F37" s="265"/>
      <c r="G37" s="265"/>
      <c r="H37" s="265"/>
      <c r="I37" s="265"/>
      <c r="J37" s="265"/>
      <c r="K37" s="265"/>
      <c r="L37" s="265"/>
      <c r="M37" s="265"/>
      <c r="N37" s="265"/>
      <c r="O37" s="265"/>
      <c r="P37" s="265"/>
      <c r="Q37" s="265"/>
      <c r="R37" s="265"/>
      <c r="S37" s="265"/>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5"/>
      <c r="AX37" s="265"/>
      <c r="AY37" s="265"/>
      <c r="AZ37" s="265"/>
      <c r="BA37" s="265"/>
      <c r="BB37" s="265"/>
      <c r="BC37" s="162">
        <f t="shared" si="2"/>
        <v>0</v>
      </c>
      <c r="BD37" s="162"/>
    </row>
    <row r="38" spans="2:56" ht="18.75" customHeight="1" x14ac:dyDescent="0.25">
      <c r="B38" s="152"/>
      <c r="C38" s="154" t="str">
        <f ca="1">RiskList!A33</f>
        <v>Company 132</v>
      </c>
      <c r="D38" s="154" t="str">
        <f ca="1">IF(RiskList!B33=0,"",RiskList!B33)</f>
        <v/>
      </c>
      <c r="E38" s="265"/>
      <c r="F38" s="265"/>
      <c r="G38" s="265"/>
      <c r="H38" s="265"/>
      <c r="I38" s="265"/>
      <c r="J38" s="265"/>
      <c r="K38" s="265"/>
      <c r="L38" s="265"/>
      <c r="M38" s="265"/>
      <c r="N38" s="265"/>
      <c r="O38" s="265"/>
      <c r="P38" s="265"/>
      <c r="Q38" s="265"/>
      <c r="R38" s="265"/>
      <c r="S38" s="265"/>
      <c r="T38" s="265"/>
      <c r="U38" s="265"/>
      <c r="V38" s="265"/>
      <c r="W38" s="265"/>
      <c r="X38" s="265"/>
      <c r="Y38" s="265"/>
      <c r="Z38" s="265"/>
      <c r="AA38" s="265"/>
      <c r="AB38" s="265"/>
      <c r="AC38" s="265"/>
      <c r="AD38" s="265"/>
      <c r="AE38" s="265"/>
      <c r="AF38" s="265"/>
      <c r="AG38" s="265"/>
      <c r="AH38" s="265"/>
      <c r="AI38" s="265"/>
      <c r="AJ38" s="265"/>
      <c r="AK38" s="265"/>
      <c r="AL38" s="265"/>
      <c r="AM38" s="265"/>
      <c r="AN38" s="265"/>
      <c r="AO38" s="265"/>
      <c r="AP38" s="265"/>
      <c r="AQ38" s="265"/>
      <c r="AR38" s="265"/>
      <c r="AS38" s="265"/>
      <c r="AT38" s="265"/>
      <c r="AU38" s="265"/>
      <c r="AV38" s="265"/>
      <c r="AW38" s="265"/>
      <c r="AX38" s="265"/>
      <c r="AY38" s="265"/>
      <c r="AZ38" s="265"/>
      <c r="BA38" s="265"/>
      <c r="BB38" s="265"/>
      <c r="BC38" s="162">
        <f t="shared" si="2"/>
        <v>0</v>
      </c>
      <c r="BD38" s="162"/>
    </row>
    <row r="39" spans="2:56" ht="18.75" customHeight="1" x14ac:dyDescent="0.25">
      <c r="B39" s="152"/>
      <c r="C39" s="154" t="str">
        <f ca="1">RiskList!A34</f>
        <v>Company 133</v>
      </c>
      <c r="D39" s="154" t="str">
        <f ca="1">IF(RiskList!B34=0,"",RiskList!B34)</f>
        <v/>
      </c>
      <c r="E39" s="265"/>
      <c r="F39" s="265"/>
      <c r="G39" s="265"/>
      <c r="H39" s="265"/>
      <c r="I39" s="265"/>
      <c r="J39" s="265"/>
      <c r="K39" s="265"/>
      <c r="L39" s="265"/>
      <c r="M39" s="265"/>
      <c r="N39" s="265"/>
      <c r="O39" s="265"/>
      <c r="P39" s="265"/>
      <c r="Q39" s="265"/>
      <c r="R39" s="265"/>
      <c r="S39" s="265"/>
      <c r="T39" s="265"/>
      <c r="U39" s="265"/>
      <c r="V39" s="265"/>
      <c r="W39" s="265"/>
      <c r="X39" s="265"/>
      <c r="Y39" s="265"/>
      <c r="Z39" s="265"/>
      <c r="AA39" s="265"/>
      <c r="AB39" s="265"/>
      <c r="AC39" s="265"/>
      <c r="AD39" s="265"/>
      <c r="AE39" s="265"/>
      <c r="AF39" s="265"/>
      <c r="AG39" s="265"/>
      <c r="AH39" s="265"/>
      <c r="AI39" s="265"/>
      <c r="AJ39" s="265"/>
      <c r="AK39" s="265"/>
      <c r="AL39" s="265"/>
      <c r="AM39" s="265"/>
      <c r="AN39" s="265"/>
      <c r="AO39" s="265"/>
      <c r="AP39" s="265"/>
      <c r="AQ39" s="265"/>
      <c r="AR39" s="265"/>
      <c r="AS39" s="265"/>
      <c r="AT39" s="265"/>
      <c r="AU39" s="265"/>
      <c r="AV39" s="265"/>
      <c r="AW39" s="265"/>
      <c r="AX39" s="265"/>
      <c r="AY39" s="265"/>
      <c r="AZ39" s="265"/>
      <c r="BA39" s="265"/>
      <c r="BB39" s="265"/>
      <c r="BC39" s="162">
        <f t="shared" ref="BC39:BC56" si="3">COUNTA(E39:BB39)</f>
        <v>0</v>
      </c>
      <c r="BD39" s="162"/>
    </row>
    <row r="40" spans="2:56" ht="18.75" customHeight="1" x14ac:dyDescent="0.25">
      <c r="B40" s="152"/>
      <c r="C40" s="154" t="str">
        <f ca="1">RiskList!A35</f>
        <v>Company 134</v>
      </c>
      <c r="D40" s="154" t="str">
        <f ca="1">IF(RiskList!B35=0,"",RiskList!B35)</f>
        <v/>
      </c>
      <c r="E40" s="265"/>
      <c r="F40" s="265"/>
      <c r="G40" s="265"/>
      <c r="H40" s="265"/>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265"/>
      <c r="AP40" s="265"/>
      <c r="AQ40" s="265"/>
      <c r="AR40" s="265"/>
      <c r="AS40" s="265"/>
      <c r="AT40" s="265"/>
      <c r="AU40" s="265"/>
      <c r="AV40" s="265"/>
      <c r="AW40" s="265"/>
      <c r="AX40" s="265"/>
      <c r="AY40" s="265"/>
      <c r="AZ40" s="265"/>
      <c r="BA40" s="265"/>
      <c r="BB40" s="265"/>
      <c r="BC40" s="162">
        <f t="shared" si="3"/>
        <v>0</v>
      </c>
      <c r="BD40" s="162"/>
    </row>
    <row r="41" spans="2:56" ht="18.75" customHeight="1" x14ac:dyDescent="0.25">
      <c r="B41" s="152"/>
      <c r="C41" s="154">
        <f>RiskList!A36</f>
        <v>0</v>
      </c>
      <c r="D41" s="154" t="str">
        <f>IF(RiskList!B36=0,"",RiskList!B36)</f>
        <v/>
      </c>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c r="AQ41" s="265"/>
      <c r="AR41" s="265"/>
      <c r="AS41" s="265"/>
      <c r="AT41" s="265"/>
      <c r="AU41" s="265"/>
      <c r="AV41" s="265"/>
      <c r="AW41" s="265"/>
      <c r="AX41" s="265"/>
      <c r="AY41" s="265"/>
      <c r="AZ41" s="265"/>
      <c r="BA41" s="265"/>
      <c r="BB41" s="265"/>
      <c r="BC41" s="162">
        <f t="shared" si="3"/>
        <v>0</v>
      </c>
      <c r="BD41" s="162"/>
    </row>
    <row r="42" spans="2:56" ht="18.75" customHeight="1" x14ac:dyDescent="0.25">
      <c r="B42" s="152"/>
      <c r="C42" s="154">
        <f>RiskList!A37</f>
        <v>0</v>
      </c>
      <c r="D42" s="154" t="str">
        <f>IF(RiskList!B37=0,"",RiskList!B37)</f>
        <v/>
      </c>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162">
        <f t="shared" si="3"/>
        <v>0</v>
      </c>
      <c r="BD42" s="162"/>
    </row>
    <row r="43" spans="2:56" ht="18.75" customHeight="1" x14ac:dyDescent="0.25">
      <c r="B43" s="152"/>
      <c r="C43" s="154">
        <f>RiskList!A38</f>
        <v>0</v>
      </c>
      <c r="D43" s="154" t="str">
        <f>IF(RiskList!B38=0,"",RiskList!B38)</f>
        <v/>
      </c>
      <c r="E43" s="265"/>
      <c r="F43" s="265"/>
      <c r="G43" s="265"/>
      <c r="H43" s="265"/>
      <c r="I43" s="265"/>
      <c r="J43" s="265"/>
      <c r="K43" s="265"/>
      <c r="L43" s="265"/>
      <c r="M43" s="265"/>
      <c r="N43" s="265"/>
      <c r="O43" s="265"/>
      <c r="P43" s="265"/>
      <c r="Q43" s="265"/>
      <c r="R43" s="265"/>
      <c r="S43" s="265"/>
      <c r="T43" s="265"/>
      <c r="U43" s="265"/>
      <c r="V43" s="265"/>
      <c r="W43" s="265"/>
      <c r="X43" s="265"/>
      <c r="Y43" s="265"/>
      <c r="Z43" s="265"/>
      <c r="AA43" s="265"/>
      <c r="AB43" s="265"/>
      <c r="AC43" s="265"/>
      <c r="AD43" s="265"/>
      <c r="AE43" s="265"/>
      <c r="AF43" s="265"/>
      <c r="AG43" s="265"/>
      <c r="AH43" s="265"/>
      <c r="AI43" s="265"/>
      <c r="AJ43" s="265"/>
      <c r="AK43" s="265"/>
      <c r="AL43" s="265"/>
      <c r="AM43" s="265"/>
      <c r="AN43" s="265"/>
      <c r="AO43" s="265"/>
      <c r="AP43" s="265"/>
      <c r="AQ43" s="265"/>
      <c r="AR43" s="265"/>
      <c r="AS43" s="265"/>
      <c r="AT43" s="265"/>
      <c r="AU43" s="265"/>
      <c r="AV43" s="265"/>
      <c r="AW43" s="265"/>
      <c r="AX43" s="265"/>
      <c r="AY43" s="265"/>
      <c r="AZ43" s="265"/>
      <c r="BA43" s="265"/>
      <c r="BB43" s="265"/>
      <c r="BC43" s="162">
        <f t="shared" si="3"/>
        <v>0</v>
      </c>
      <c r="BD43" s="162"/>
    </row>
    <row r="44" spans="2:56" ht="18.75" customHeight="1" x14ac:dyDescent="0.25">
      <c r="B44" s="152"/>
      <c r="C44" s="154">
        <f>RiskList!A39</f>
        <v>0</v>
      </c>
      <c r="D44" s="154" t="str">
        <f>IF(RiskList!B39=0,"",RiskList!B39)</f>
        <v/>
      </c>
      <c r="E44" s="265"/>
      <c r="F44" s="265"/>
      <c r="G44" s="265"/>
      <c r="H44" s="265"/>
      <c r="I44" s="265"/>
      <c r="J44" s="265"/>
      <c r="K44" s="265"/>
      <c r="L44" s="265"/>
      <c r="M44" s="265"/>
      <c r="N44" s="265"/>
      <c r="O44" s="265"/>
      <c r="P44" s="265"/>
      <c r="Q44" s="265"/>
      <c r="R44" s="265"/>
      <c r="S44" s="265"/>
      <c r="T44" s="265"/>
      <c r="U44" s="265"/>
      <c r="V44" s="265"/>
      <c r="W44" s="265"/>
      <c r="X44" s="265"/>
      <c r="Y44" s="265"/>
      <c r="Z44" s="265"/>
      <c r="AA44" s="265"/>
      <c r="AB44" s="265"/>
      <c r="AC44" s="265"/>
      <c r="AD44" s="265"/>
      <c r="AE44" s="265"/>
      <c r="AF44" s="265"/>
      <c r="AG44" s="265"/>
      <c r="AH44" s="265"/>
      <c r="AI44" s="265"/>
      <c r="AJ44" s="265"/>
      <c r="AK44" s="265"/>
      <c r="AL44" s="265"/>
      <c r="AM44" s="265"/>
      <c r="AN44" s="265"/>
      <c r="AO44" s="265"/>
      <c r="AP44" s="265"/>
      <c r="AQ44" s="265"/>
      <c r="AR44" s="265"/>
      <c r="AS44" s="265"/>
      <c r="AT44" s="265"/>
      <c r="AU44" s="265"/>
      <c r="AV44" s="265"/>
      <c r="AW44" s="265"/>
      <c r="AX44" s="265"/>
      <c r="AY44" s="265"/>
      <c r="AZ44" s="265"/>
      <c r="BA44" s="265"/>
      <c r="BB44" s="265"/>
      <c r="BC44" s="162">
        <f t="shared" si="3"/>
        <v>0</v>
      </c>
      <c r="BD44" s="162"/>
    </row>
    <row r="45" spans="2:56" ht="18.75" customHeight="1" x14ac:dyDescent="0.25">
      <c r="B45" s="152"/>
      <c r="C45" s="154">
        <f>RiskList!A40</f>
        <v>0</v>
      </c>
      <c r="D45" s="154" t="str">
        <f>IF(RiskList!B40=0,"",RiskList!B40)</f>
        <v/>
      </c>
      <c r="E45" s="265"/>
      <c r="F45" s="265"/>
      <c r="G45" s="265"/>
      <c r="H45" s="265"/>
      <c r="I45" s="265"/>
      <c r="J45" s="265"/>
      <c r="K45" s="265"/>
      <c r="L45" s="265"/>
      <c r="M45" s="265"/>
      <c r="N45" s="265"/>
      <c r="O45" s="265"/>
      <c r="P45" s="265"/>
      <c r="Q45" s="265"/>
      <c r="R45" s="265"/>
      <c r="S45" s="265"/>
      <c r="T45" s="265"/>
      <c r="U45" s="265"/>
      <c r="V45" s="265"/>
      <c r="W45" s="265"/>
      <c r="X45" s="265"/>
      <c r="Y45" s="265"/>
      <c r="Z45" s="265"/>
      <c r="AA45" s="265"/>
      <c r="AB45" s="265"/>
      <c r="AC45" s="265"/>
      <c r="AD45" s="265"/>
      <c r="AE45" s="265"/>
      <c r="AF45" s="265"/>
      <c r="AG45" s="265"/>
      <c r="AH45" s="265"/>
      <c r="AI45" s="265"/>
      <c r="AJ45" s="265"/>
      <c r="AK45" s="265"/>
      <c r="AL45" s="265"/>
      <c r="AM45" s="265"/>
      <c r="AN45" s="265"/>
      <c r="AO45" s="265"/>
      <c r="AP45" s="265"/>
      <c r="AQ45" s="265"/>
      <c r="AR45" s="265"/>
      <c r="AS45" s="265"/>
      <c r="AT45" s="265"/>
      <c r="AU45" s="265"/>
      <c r="AV45" s="265"/>
      <c r="AW45" s="265"/>
      <c r="AX45" s="265"/>
      <c r="AY45" s="265"/>
      <c r="AZ45" s="265"/>
      <c r="BA45" s="265"/>
      <c r="BB45" s="265"/>
      <c r="BC45" s="162">
        <f t="shared" si="3"/>
        <v>0</v>
      </c>
      <c r="BD45" s="162"/>
    </row>
    <row r="46" spans="2:56" ht="18.75" customHeight="1" x14ac:dyDescent="0.25">
      <c r="B46" s="152"/>
      <c r="C46" s="154">
        <f>RiskList!A41</f>
        <v>0</v>
      </c>
      <c r="D46" s="154" t="str">
        <f>IF(RiskList!B41=0,"",RiskList!B41)</f>
        <v/>
      </c>
      <c r="E46" s="265"/>
      <c r="F46" s="265"/>
      <c r="G46" s="265"/>
      <c r="H46" s="265"/>
      <c r="I46" s="265"/>
      <c r="J46" s="265"/>
      <c r="K46" s="265"/>
      <c r="L46" s="265"/>
      <c r="M46" s="265"/>
      <c r="N46" s="265"/>
      <c r="O46" s="265"/>
      <c r="P46" s="265"/>
      <c r="Q46" s="265"/>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265"/>
      <c r="AR46" s="265"/>
      <c r="AS46" s="265"/>
      <c r="AT46" s="265"/>
      <c r="AU46" s="265"/>
      <c r="AV46" s="265"/>
      <c r="AW46" s="265"/>
      <c r="AX46" s="265"/>
      <c r="AY46" s="265"/>
      <c r="AZ46" s="265"/>
      <c r="BA46" s="265"/>
      <c r="BB46" s="265"/>
      <c r="BC46" s="162">
        <f t="shared" si="3"/>
        <v>0</v>
      </c>
      <c r="BD46" s="162"/>
    </row>
    <row r="47" spans="2:56" ht="18.75" customHeight="1" x14ac:dyDescent="0.25">
      <c r="B47" s="152"/>
      <c r="C47" s="154">
        <f>RiskList!A42</f>
        <v>0</v>
      </c>
      <c r="D47" s="154" t="str">
        <f>IF(RiskList!B42=0,"",RiskList!B42)</f>
        <v/>
      </c>
      <c r="E47" s="265"/>
      <c r="F47" s="265"/>
      <c r="G47" s="265"/>
      <c r="H47" s="265"/>
      <c r="I47" s="265"/>
      <c r="J47" s="265"/>
      <c r="K47" s="265"/>
      <c r="L47" s="265"/>
      <c r="M47" s="265"/>
      <c r="N47" s="265"/>
      <c r="O47" s="265"/>
      <c r="P47" s="265"/>
      <c r="Q47" s="265"/>
      <c r="R47" s="265"/>
      <c r="S47" s="265"/>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c r="AQ47" s="265"/>
      <c r="AR47" s="265"/>
      <c r="AS47" s="265"/>
      <c r="AT47" s="265"/>
      <c r="AU47" s="265"/>
      <c r="AV47" s="265"/>
      <c r="AW47" s="265"/>
      <c r="AX47" s="265"/>
      <c r="AY47" s="265"/>
      <c r="AZ47" s="265"/>
      <c r="BA47" s="265"/>
      <c r="BB47" s="265"/>
      <c r="BC47" s="162">
        <f t="shared" si="3"/>
        <v>0</v>
      </c>
      <c r="BD47" s="162"/>
    </row>
    <row r="48" spans="2:56" ht="18.75" customHeight="1" x14ac:dyDescent="0.25">
      <c r="B48" s="152"/>
      <c r="C48" s="154">
        <f>RiskList!A43</f>
        <v>0</v>
      </c>
      <c r="D48" s="154" t="str">
        <f>IF(RiskList!B43=0,"",RiskList!B43)</f>
        <v/>
      </c>
      <c r="E48" s="265"/>
      <c r="F48" s="265"/>
      <c r="G48" s="265"/>
      <c r="H48" s="265"/>
      <c r="I48" s="265"/>
      <c r="J48" s="265"/>
      <c r="K48" s="265"/>
      <c r="L48" s="265"/>
      <c r="M48" s="265"/>
      <c r="N48" s="265"/>
      <c r="O48" s="265"/>
      <c r="P48" s="265"/>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162">
        <f t="shared" si="3"/>
        <v>0</v>
      </c>
      <c r="BD48" s="162"/>
    </row>
    <row r="49" spans="2:56" ht="18.75" customHeight="1" x14ac:dyDescent="0.25">
      <c r="B49" s="152"/>
      <c r="C49" s="154">
        <f>RiskList!A44</f>
        <v>0</v>
      </c>
      <c r="D49" s="154" t="str">
        <f>IF(RiskList!B44=0,"",RiskList!B44)</f>
        <v/>
      </c>
      <c r="E49" s="265"/>
      <c r="F49" s="265"/>
      <c r="G49" s="265"/>
      <c r="H49" s="265"/>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c r="AX49" s="265"/>
      <c r="AY49" s="265"/>
      <c r="AZ49" s="265"/>
      <c r="BA49" s="265"/>
      <c r="BB49" s="265"/>
      <c r="BC49" s="162">
        <f t="shared" si="3"/>
        <v>0</v>
      </c>
      <c r="BD49" s="162"/>
    </row>
    <row r="50" spans="2:56" ht="18.75" customHeight="1" x14ac:dyDescent="0.25">
      <c r="B50" s="152"/>
      <c r="C50" s="154">
        <f>RiskList!A45</f>
        <v>0</v>
      </c>
      <c r="D50" s="154" t="str">
        <f>IF(RiskList!B45=0,"",RiskList!B45)</f>
        <v/>
      </c>
      <c r="E50" s="265"/>
      <c r="F50" s="265"/>
      <c r="G50" s="265"/>
      <c r="H50" s="265"/>
      <c r="I50" s="265"/>
      <c r="J50" s="265"/>
      <c r="K50" s="265"/>
      <c r="L50" s="265"/>
      <c r="M50" s="265"/>
      <c r="N50" s="265"/>
      <c r="O50" s="265"/>
      <c r="P50" s="265"/>
      <c r="Q50" s="265"/>
      <c r="R50" s="265"/>
      <c r="S50" s="265"/>
      <c r="T50" s="265"/>
      <c r="U50" s="265"/>
      <c r="V50" s="265"/>
      <c r="W50" s="265"/>
      <c r="X50" s="265"/>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162">
        <f t="shared" si="3"/>
        <v>0</v>
      </c>
      <c r="BD50" s="162"/>
    </row>
    <row r="51" spans="2:56" ht="18.75" customHeight="1" x14ac:dyDescent="0.25">
      <c r="B51" s="152"/>
      <c r="C51" s="154">
        <f>RiskList!A46</f>
        <v>0</v>
      </c>
      <c r="D51" s="154" t="str">
        <f>IF(RiskList!B46=0,"",RiskList!B46)</f>
        <v/>
      </c>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162">
        <f t="shared" si="3"/>
        <v>0</v>
      </c>
      <c r="BD51" s="162"/>
    </row>
    <row r="52" spans="2:56" ht="18.75" customHeight="1" x14ac:dyDescent="0.25">
      <c r="B52" s="152"/>
      <c r="C52" s="154">
        <f>RiskList!A47</f>
        <v>0</v>
      </c>
      <c r="D52" s="154" t="str">
        <f>IF(RiskList!B47=0,"",RiskList!B47)</f>
        <v/>
      </c>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5"/>
      <c r="AH52" s="265"/>
      <c r="AI52" s="265"/>
      <c r="AJ52" s="265"/>
      <c r="AK52" s="265"/>
      <c r="AL52" s="265"/>
      <c r="AM52" s="265"/>
      <c r="AN52" s="265"/>
      <c r="AO52" s="265"/>
      <c r="AP52" s="265"/>
      <c r="AQ52" s="265"/>
      <c r="AR52" s="265"/>
      <c r="AS52" s="265"/>
      <c r="AT52" s="265"/>
      <c r="AU52" s="265"/>
      <c r="AV52" s="265"/>
      <c r="AW52" s="265"/>
      <c r="AX52" s="265"/>
      <c r="AY52" s="265"/>
      <c r="AZ52" s="265"/>
      <c r="BA52" s="265"/>
      <c r="BB52" s="265"/>
      <c r="BC52" s="162">
        <f t="shared" si="3"/>
        <v>0</v>
      </c>
      <c r="BD52" s="162"/>
    </row>
    <row r="53" spans="2:56" ht="18.75" customHeight="1" x14ac:dyDescent="0.25">
      <c r="B53" s="152"/>
      <c r="C53" s="154">
        <f>RiskList!A48</f>
        <v>0</v>
      </c>
      <c r="D53" s="154" t="str">
        <f>IF(RiskList!B48=0,"",RiskList!B48)</f>
        <v/>
      </c>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5"/>
      <c r="AX53" s="265"/>
      <c r="AY53" s="265"/>
      <c r="AZ53" s="265"/>
      <c r="BA53" s="265"/>
      <c r="BB53" s="265"/>
      <c r="BC53" s="162">
        <f t="shared" si="3"/>
        <v>0</v>
      </c>
      <c r="BD53" s="162"/>
    </row>
    <row r="54" spans="2:56" ht="18.75" customHeight="1" x14ac:dyDescent="0.25">
      <c r="B54" s="152"/>
      <c r="C54" s="154">
        <f>RiskList!A49</f>
        <v>0</v>
      </c>
      <c r="D54" s="154" t="str">
        <f>IF(RiskList!B49=0,"",RiskList!B49)</f>
        <v/>
      </c>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5"/>
      <c r="AL54" s="265"/>
      <c r="AM54" s="265"/>
      <c r="AN54" s="265"/>
      <c r="AO54" s="265"/>
      <c r="AP54" s="265"/>
      <c r="AQ54" s="265"/>
      <c r="AR54" s="265"/>
      <c r="AS54" s="265"/>
      <c r="AT54" s="265"/>
      <c r="AU54" s="265"/>
      <c r="AV54" s="265"/>
      <c r="AW54" s="265"/>
      <c r="AX54" s="265"/>
      <c r="AY54" s="265"/>
      <c r="AZ54" s="265"/>
      <c r="BA54" s="265"/>
      <c r="BB54" s="265"/>
      <c r="BC54" s="162">
        <f t="shared" si="3"/>
        <v>0</v>
      </c>
      <c r="BD54" s="162"/>
    </row>
    <row r="55" spans="2:56" ht="18.75" customHeight="1" x14ac:dyDescent="0.25">
      <c r="B55" s="152"/>
      <c r="C55" s="154">
        <f>RiskList!A50</f>
        <v>0</v>
      </c>
      <c r="D55" s="154" t="str">
        <f>IF(RiskList!B50=0,"",RiskList!B50)</f>
        <v/>
      </c>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162">
        <f t="shared" si="3"/>
        <v>0</v>
      </c>
      <c r="BD55" s="162"/>
    </row>
    <row r="56" spans="2:56" ht="18.75" customHeight="1" x14ac:dyDescent="0.25">
      <c r="B56" s="152"/>
      <c r="C56" s="154">
        <f>RiskList!A51</f>
        <v>0</v>
      </c>
      <c r="D56" s="154" t="str">
        <f>IF(RiskList!B51=0,"",RiskList!B51)</f>
        <v/>
      </c>
      <c r="E56" s="265"/>
      <c r="F56" s="265"/>
      <c r="G56" s="265"/>
      <c r="H56" s="265"/>
      <c r="I56" s="265"/>
      <c r="J56" s="265"/>
      <c r="K56" s="265"/>
      <c r="L56" s="265"/>
      <c r="M56" s="265"/>
      <c r="N56" s="265"/>
      <c r="O56" s="265"/>
      <c r="P56" s="265"/>
      <c r="Q56" s="265"/>
      <c r="R56" s="265"/>
      <c r="S56" s="265"/>
      <c r="T56" s="265"/>
      <c r="U56" s="265"/>
      <c r="V56" s="265"/>
      <c r="W56" s="265"/>
      <c r="X56" s="265"/>
      <c r="Y56" s="265"/>
      <c r="Z56" s="265"/>
      <c r="AA56" s="265"/>
      <c r="AB56" s="265"/>
      <c r="AC56" s="265"/>
      <c r="AD56" s="265"/>
      <c r="AE56" s="265"/>
      <c r="AF56" s="265"/>
      <c r="AG56" s="265"/>
      <c r="AH56" s="265"/>
      <c r="AI56" s="265"/>
      <c r="AJ56" s="265"/>
      <c r="AK56" s="265"/>
      <c r="AL56" s="265"/>
      <c r="AM56" s="265"/>
      <c r="AN56" s="265"/>
      <c r="AO56" s="265"/>
      <c r="AP56" s="265"/>
      <c r="AQ56" s="265"/>
      <c r="AR56" s="265"/>
      <c r="AS56" s="265"/>
      <c r="AT56" s="265"/>
      <c r="AU56" s="265"/>
      <c r="AV56" s="265"/>
      <c r="AW56" s="265"/>
      <c r="AX56" s="265"/>
      <c r="AY56" s="265"/>
      <c r="AZ56" s="265"/>
      <c r="BA56" s="265"/>
      <c r="BB56" s="265"/>
      <c r="BC56" s="162">
        <f t="shared" si="3"/>
        <v>0</v>
      </c>
      <c r="BD56" s="162"/>
    </row>
    <row r="57" spans="2:56" ht="11.25" customHeight="1" x14ac:dyDescent="0.25">
      <c r="B57" s="152"/>
      <c r="C57" s="124">
        <f ca="1">COUNTA(C7:C56)</f>
        <v>50</v>
      </c>
      <c r="D57" s="124">
        <f ca="1">COUNTA(D7:D56)-COUNTIF(D7:D56,"")</f>
        <v>0</v>
      </c>
      <c r="E57" s="124">
        <f t="shared" ref="E57:AJ57" si="4">COUNTA(E7:E56)</f>
        <v>0</v>
      </c>
      <c r="F57" s="124">
        <f t="shared" si="4"/>
        <v>0</v>
      </c>
      <c r="G57" s="124">
        <f t="shared" si="4"/>
        <v>0</v>
      </c>
      <c r="H57" s="124">
        <f t="shared" si="4"/>
        <v>0</v>
      </c>
      <c r="I57" s="124">
        <f t="shared" si="4"/>
        <v>0</v>
      </c>
      <c r="J57" s="124">
        <f t="shared" si="4"/>
        <v>0</v>
      </c>
      <c r="K57" s="124">
        <f t="shared" si="4"/>
        <v>0</v>
      </c>
      <c r="L57" s="124">
        <f t="shared" si="4"/>
        <v>0</v>
      </c>
      <c r="M57" s="124">
        <f t="shared" si="4"/>
        <v>0</v>
      </c>
      <c r="N57" s="124">
        <f t="shared" si="4"/>
        <v>0</v>
      </c>
      <c r="O57" s="124">
        <f t="shared" si="4"/>
        <v>0</v>
      </c>
      <c r="P57" s="124">
        <f t="shared" si="4"/>
        <v>0</v>
      </c>
      <c r="Q57" s="124">
        <f t="shared" si="4"/>
        <v>0</v>
      </c>
      <c r="R57" s="124">
        <f t="shared" si="4"/>
        <v>0</v>
      </c>
      <c r="S57" s="124">
        <f t="shared" si="4"/>
        <v>0</v>
      </c>
      <c r="T57" s="124">
        <f t="shared" si="4"/>
        <v>0</v>
      </c>
      <c r="U57" s="124">
        <f t="shared" si="4"/>
        <v>0</v>
      </c>
      <c r="V57" s="124">
        <f t="shared" si="4"/>
        <v>0</v>
      </c>
      <c r="W57" s="124">
        <f t="shared" si="4"/>
        <v>0</v>
      </c>
      <c r="X57" s="124">
        <f t="shared" si="4"/>
        <v>0</v>
      </c>
      <c r="Y57" s="124">
        <f t="shared" si="4"/>
        <v>0</v>
      </c>
      <c r="Z57" s="124">
        <f t="shared" si="4"/>
        <v>0</v>
      </c>
      <c r="AA57" s="124">
        <f t="shared" si="4"/>
        <v>0</v>
      </c>
      <c r="AB57" s="124">
        <f t="shared" si="4"/>
        <v>0</v>
      </c>
      <c r="AC57" s="124">
        <f t="shared" si="4"/>
        <v>0</v>
      </c>
      <c r="AD57" s="124">
        <f t="shared" si="4"/>
        <v>0</v>
      </c>
      <c r="AE57" s="124">
        <f t="shared" si="4"/>
        <v>0</v>
      </c>
      <c r="AF57" s="124">
        <f t="shared" si="4"/>
        <v>0</v>
      </c>
      <c r="AG57" s="124">
        <f t="shared" si="4"/>
        <v>0</v>
      </c>
      <c r="AH57" s="124">
        <f t="shared" si="4"/>
        <v>0</v>
      </c>
      <c r="AI57" s="124">
        <f t="shared" si="4"/>
        <v>0</v>
      </c>
      <c r="AJ57" s="124">
        <f t="shared" si="4"/>
        <v>0</v>
      </c>
      <c r="AK57" s="124">
        <f t="shared" ref="AK57:BB57" si="5">COUNTA(AK7:AK56)</f>
        <v>0</v>
      </c>
      <c r="AL57" s="124">
        <f t="shared" si="5"/>
        <v>0</v>
      </c>
      <c r="AM57" s="124">
        <f t="shared" si="5"/>
        <v>0</v>
      </c>
      <c r="AN57" s="124">
        <f t="shared" si="5"/>
        <v>0</v>
      </c>
      <c r="AO57" s="124">
        <f t="shared" si="5"/>
        <v>0</v>
      </c>
      <c r="AP57" s="124">
        <f t="shared" si="5"/>
        <v>0</v>
      </c>
      <c r="AQ57" s="124">
        <f t="shared" si="5"/>
        <v>0</v>
      </c>
      <c r="AR57" s="124">
        <f t="shared" si="5"/>
        <v>0</v>
      </c>
      <c r="AS57" s="124">
        <f t="shared" si="5"/>
        <v>0</v>
      </c>
      <c r="AT57" s="124">
        <f t="shared" si="5"/>
        <v>0</v>
      </c>
      <c r="AU57" s="124">
        <f t="shared" si="5"/>
        <v>0</v>
      </c>
      <c r="AV57" s="124">
        <f t="shared" si="5"/>
        <v>0</v>
      </c>
      <c r="AW57" s="124">
        <f t="shared" si="5"/>
        <v>0</v>
      </c>
      <c r="AX57" s="124">
        <f t="shared" si="5"/>
        <v>0</v>
      </c>
      <c r="AY57" s="124">
        <f t="shared" si="5"/>
        <v>0</v>
      </c>
      <c r="AZ57" s="124">
        <f t="shared" si="5"/>
        <v>0</v>
      </c>
      <c r="BA57" s="124">
        <f t="shared" si="5"/>
        <v>0</v>
      </c>
      <c r="BB57" s="124">
        <f t="shared" si="5"/>
        <v>0</v>
      </c>
      <c r="BC57" s="162"/>
      <c r="BD57" s="162"/>
    </row>
    <row r="58" spans="2:56" ht="15" customHeight="1" x14ac:dyDescent="0.25">
      <c r="B58" s="35"/>
      <c r="C58" s="36"/>
      <c r="D58" s="419"/>
      <c r="E58" s="419"/>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38"/>
      <c r="BD58" s="38"/>
    </row>
    <row r="59" spans="2:56" ht="9" customHeight="1" x14ac:dyDescent="0.25">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row>
    <row r="60" spans="2:56" ht="15" customHeight="1" x14ac:dyDescent="0.25">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BC60" s="104"/>
      <c r="BD60" s="104"/>
    </row>
    <row r="61" spans="2:56" ht="15" customHeight="1" x14ac:dyDescent="0.25">
      <c r="B61" s="104"/>
      <c r="C61" s="104"/>
      <c r="D61" s="104" t="s">
        <v>411</v>
      </c>
      <c r="E61" s="104" t="b">
        <f>IF(COUNTA(E$7:E$56)&gt;0,INDEX(Objectives!$D:$D,MATCH(E$6,Objectives!$C:$C,0)))</f>
        <v>0</v>
      </c>
      <c r="F61" s="104" t="b">
        <f>IF(COUNTA(F$7:F$56)&gt;0,INDEX(Objectives!$D:$D,MATCH(F$6,Objectives!$C:$C,0)))</f>
        <v>0</v>
      </c>
      <c r="G61" s="104" t="b">
        <f>IF(COUNTA(G$7:G$56)&gt;0,INDEX(Objectives!$D:$D,MATCH(G$6,Objectives!$C:$C,0)))</f>
        <v>0</v>
      </c>
      <c r="H61" s="104" t="b">
        <f>IF(COUNTA(H$7:H$56)&gt;0,INDEX(Objectives!$D:$D,MATCH(H$6,Objectives!$C:$C,0)))</f>
        <v>0</v>
      </c>
      <c r="I61" s="104" t="b">
        <f>IF(COUNTA(I$7:I$56)&gt;0,INDEX(Objectives!$D:$D,MATCH(I$6,Objectives!$C:$C,0)))</f>
        <v>0</v>
      </c>
      <c r="J61" s="104" t="b">
        <f>IF(COUNTA(J$7:J$56)&gt;0,INDEX(Objectives!$D:$D,MATCH(J$6,Objectives!$C:$C,0)))</f>
        <v>0</v>
      </c>
      <c r="K61" s="104" t="b">
        <f>IF(COUNTA(K$7:K$56)&gt;0,INDEX(Objectives!$D:$D,MATCH(K$6,Objectives!$C:$C,0)))</f>
        <v>0</v>
      </c>
      <c r="L61" s="104" t="b">
        <f>IF(COUNTA(L$7:L$56)&gt;0,INDEX(Objectives!$D:$D,MATCH(L$6,Objectives!$C:$C,0)))</f>
        <v>0</v>
      </c>
      <c r="M61" s="104" t="b">
        <f>IF(COUNTA(M$7:M$56)&gt;0,INDEX(Objectives!$D:$D,MATCH(M$6,Objectives!$C:$C,0)))</f>
        <v>0</v>
      </c>
      <c r="N61" s="104" t="b">
        <f>IF(COUNTA(N$7:N$56)&gt;0,INDEX(Objectives!$D:$D,MATCH(N$6,Objectives!$C:$C,0)))</f>
        <v>0</v>
      </c>
      <c r="O61" s="104" t="b">
        <f>IF(COUNTA(O$7:O$56)&gt;0,INDEX(Objectives!$D:$D,MATCH(O$6,Objectives!$C:$C,0)))</f>
        <v>0</v>
      </c>
      <c r="P61" s="104" t="b">
        <f>IF(COUNTA(P$7:P$56)&gt;0,INDEX(Objectives!$D:$D,MATCH(P$6,Objectives!$C:$C,0)))</f>
        <v>0</v>
      </c>
      <c r="Q61" s="104" t="b">
        <f>IF(COUNTA(Q$7:Q$56)&gt;0,INDEX(Objectives!$D:$D,MATCH(Q$6,Objectives!$C:$C,0)))</f>
        <v>0</v>
      </c>
      <c r="R61" s="104" t="b">
        <f>IF(COUNTA(R$7:R$56)&gt;0,INDEX(Objectives!$D:$D,MATCH(R$6,Objectives!$C:$C,0)))</f>
        <v>0</v>
      </c>
      <c r="S61" s="104" t="b">
        <f>IF(COUNTA(S$7:S$56)&gt;0,INDEX(Objectives!$D:$D,MATCH(S$6,Objectives!$C:$C,0)))</f>
        <v>0</v>
      </c>
      <c r="T61" s="104" t="b">
        <f>IF(COUNTA(T$7:T$56)&gt;0,INDEX(Objectives!$D:$D,MATCH(T$6,Objectives!$C:$C,0)))</f>
        <v>0</v>
      </c>
      <c r="U61" s="104" t="b">
        <f>IF(COUNTA(U$7:U$56)&gt;0,INDEX(Objectives!$D:$D,MATCH(U$6,Objectives!$C:$C,0)))</f>
        <v>0</v>
      </c>
      <c r="V61" s="104" t="b">
        <f>IF(COUNTA(V$7:V$56)&gt;0,INDEX(Objectives!$D:$D,MATCH(V$6,Objectives!$C:$C,0)))</f>
        <v>0</v>
      </c>
      <c r="W61" s="104" t="b">
        <f>IF(COUNTA(W$7:W$56)&gt;0,INDEX(Objectives!$D:$D,MATCH(W$6,Objectives!$C:$C,0)))</f>
        <v>0</v>
      </c>
      <c r="X61" s="104" t="b">
        <f>IF(COUNTA(X$7:X$56)&gt;0,INDEX(Objectives!$D:$D,MATCH(X$6,Objectives!$C:$C,0)))</f>
        <v>0</v>
      </c>
      <c r="Y61" s="104" t="b">
        <f>IF(COUNTA(Y$7:Y$56)&gt;0,INDEX(Objectives!$D:$D,MATCH(Y$6,Objectives!$C:$C,0)))</f>
        <v>0</v>
      </c>
      <c r="Z61" s="104" t="b">
        <f>IF(COUNTA(Z$7:Z$56)&gt;0,INDEX(Objectives!$D:$D,MATCH(Z$6,Objectives!$C:$C,0)))</f>
        <v>0</v>
      </c>
      <c r="AA61" s="104" t="b">
        <f>IF(COUNTA(AA$7:AA$56)&gt;0,INDEX(Objectives!$D:$D,MATCH(AA$6,Objectives!$C:$C,0)))</f>
        <v>0</v>
      </c>
      <c r="AB61" s="104" t="b">
        <f>IF(COUNTA(AB$7:AB$56)&gt;0,INDEX(Objectives!$D:$D,MATCH(AB$6,Objectives!$C:$C,0)))</f>
        <v>0</v>
      </c>
      <c r="AC61" s="104" t="b">
        <f>IF(COUNTA(AC$7:AC$56)&gt;0,INDEX(Objectives!$D:$D,MATCH(AC$6,Objectives!$C:$C,0)))</f>
        <v>0</v>
      </c>
      <c r="AD61" s="104" t="b">
        <f>IF(COUNTA(AD$7:AD$56)&gt;0,INDEX(Objectives!$D:$D,MATCH(AD$6,Objectives!$C:$C,0)))</f>
        <v>0</v>
      </c>
      <c r="AE61" s="104" t="b">
        <f>IF(COUNTA(AE$7:AE$56)&gt;0,INDEX(Objectives!$D:$D,MATCH(AE$6,Objectives!$C:$C,0)))</f>
        <v>0</v>
      </c>
      <c r="AF61" s="104" t="b">
        <f>IF(COUNTA(AF$7:AF$56)&gt;0,INDEX(Objectives!$D:$D,MATCH(AF$6,Objectives!$C:$C,0)))</f>
        <v>0</v>
      </c>
      <c r="AG61" s="104" t="b">
        <f>IF(COUNTA(AG$7:AG$56)&gt;0,INDEX(Objectives!$D:$D,MATCH(AG$6,Objectives!$C:$C,0)))</f>
        <v>0</v>
      </c>
      <c r="AH61" s="104" t="b">
        <f>IF(COUNTA(AH$7:AH$56)&gt;0,INDEX(Objectives!$D:$D,MATCH(AH$6,Objectives!$C:$C,0)))</f>
        <v>0</v>
      </c>
      <c r="AI61" s="104" t="b">
        <f>IF(COUNTA(AI$7:AI$56)&gt;0,INDEX(Objectives!$D:$D,MATCH(AI$6,Objectives!$C:$C,0)))</f>
        <v>0</v>
      </c>
      <c r="AJ61" s="104" t="b">
        <f>IF(COUNTA(AJ$7:AJ$56)&gt;0,INDEX(Objectives!$D:$D,MATCH(AJ$6,Objectives!$C:$C,0)))</f>
        <v>0</v>
      </c>
      <c r="AK61" s="104" t="b">
        <f>IF(COUNTA(AK$7:AK$56)&gt;0,INDEX(Objectives!$D:$D,MATCH(AK$6,Objectives!$C:$C,0)))</f>
        <v>0</v>
      </c>
      <c r="AL61" s="104" t="b">
        <f>IF(COUNTA(AL$7:AL$56)&gt;0,INDEX(Objectives!$D:$D,MATCH(AL$6,Objectives!$C:$C,0)))</f>
        <v>0</v>
      </c>
      <c r="AM61" s="104" t="b">
        <f>IF(COUNTA(AM$7:AM$56)&gt;0,INDEX(Objectives!$D:$D,MATCH(AM$6,Objectives!$C:$C,0)))</f>
        <v>0</v>
      </c>
      <c r="AN61" s="104" t="b">
        <f>IF(COUNTA(AN$7:AN$56)&gt;0,INDEX(Objectives!$D:$D,MATCH(AN$6,Objectives!$C:$C,0)))</f>
        <v>0</v>
      </c>
      <c r="AO61" s="104" t="b">
        <f>IF(COUNTA(AO$7:AO$56)&gt;0,INDEX(Objectives!$D:$D,MATCH(AO$6,Objectives!$C:$C,0)))</f>
        <v>0</v>
      </c>
      <c r="AP61" s="104" t="b">
        <f>IF(COUNTA(AP$7:AP$56)&gt;0,INDEX(Objectives!$D:$D,MATCH(AP$6,Objectives!$C:$C,0)))</f>
        <v>0</v>
      </c>
      <c r="AQ61" s="104" t="b">
        <f>IF(COUNTA(AQ$7:AQ$56)&gt;0,INDEX(Objectives!$D:$D,MATCH(AQ$6,Objectives!$C:$C,0)))</f>
        <v>0</v>
      </c>
      <c r="AR61" s="104" t="b">
        <f>IF(COUNTA(AR$7:AR$56)&gt;0,INDEX(Objectives!$D:$D,MATCH(AR$6,Objectives!$C:$C,0)))</f>
        <v>0</v>
      </c>
      <c r="AS61" s="104" t="b">
        <f>IF(COUNTA(AS$7:AS$56)&gt;0,INDEX(Objectives!$D:$D,MATCH(AS$6,Objectives!$C:$C,0)))</f>
        <v>0</v>
      </c>
      <c r="AT61" s="104" t="b">
        <f>IF(COUNTA(AT$7:AT$56)&gt;0,INDEX(Objectives!$D:$D,MATCH(AT$6,Objectives!$C:$C,0)))</f>
        <v>0</v>
      </c>
      <c r="AU61" s="104" t="b">
        <f>IF(COUNTA(AU$7:AU$56)&gt;0,INDEX(Objectives!$D:$D,MATCH(AU$6,Objectives!$C:$C,0)))</f>
        <v>0</v>
      </c>
      <c r="AV61" s="104" t="b">
        <f>IF(COUNTA(AV$7:AV$56)&gt;0,INDEX(Objectives!$D:$D,MATCH(AV$6,Objectives!$C:$C,0)))</f>
        <v>0</v>
      </c>
      <c r="AW61" s="104" t="b">
        <f>IF(COUNTA(AW$7:AW$56)&gt;0,INDEX(Objectives!$D:$D,MATCH(AW$6,Objectives!$C:$C,0)))</f>
        <v>0</v>
      </c>
      <c r="AX61" s="104" t="b">
        <f>IF(COUNTA(AX$7:AX$56)&gt;0,INDEX(Objectives!$D:$D,MATCH(AX$6,Objectives!$C:$C,0)))</f>
        <v>0</v>
      </c>
      <c r="AY61" s="104" t="b">
        <f>IF(COUNTA(AY$7:AY$56)&gt;0,INDEX(Objectives!$D:$D,MATCH(AY$6,Objectives!$C:$C,0)))</f>
        <v>0</v>
      </c>
      <c r="AZ61" s="266" t="b">
        <f>IF(COUNTA(AZ$7:AZ$56)&gt;0,INDEX(Objectives!$D:$D,MATCH(AZ$6,Objectives!$C:$C,0)))</f>
        <v>0</v>
      </c>
      <c r="BA61" s="266" t="b">
        <f>IF(COUNTA(BA$7:BA$56)&gt;0,INDEX(Objectives!$D:$D,MATCH(BA$6,Objectives!$C:$C,0)))</f>
        <v>0</v>
      </c>
      <c r="BB61" s="266" t="b">
        <f>IF(COUNTA(BB$7:BB$56)&gt;0,INDEX(Objectives!$D:$D,MATCH(BB$6,Objectives!$C:$C,0)))</f>
        <v>0</v>
      </c>
      <c r="BC61" s="104">
        <f>SUM(E61:BB61)</f>
        <v>0</v>
      </c>
      <c r="BD61" s="104"/>
    </row>
    <row r="62" spans="2:56" ht="15" customHeight="1" x14ac:dyDescent="0.25">
      <c r="B62" s="104"/>
      <c r="C62" s="104"/>
      <c r="D62" s="104" t="s">
        <v>706</v>
      </c>
      <c r="E62" s="104" t="b">
        <f>IF(COUNTA(E$7:E$56)&gt;0,INDEX(Objectives!$E:$E,MATCH(E$6,Objectives!$C:$C,0)))</f>
        <v>0</v>
      </c>
      <c r="F62" s="104" t="b">
        <f>IF(COUNTA(F$7:F$56)&gt;0,INDEX(Objectives!$E:$E,MATCH(F$6,Objectives!$C:$C,0)))</f>
        <v>0</v>
      </c>
      <c r="G62" s="104" t="b">
        <f>IF(COUNTA(G$7:G$56)&gt;0,INDEX(Objectives!$E:$E,MATCH(G$6,Objectives!$C:$C,0)))</f>
        <v>0</v>
      </c>
      <c r="H62" s="104" t="b">
        <f>IF(COUNTA(H$7:H$56)&gt;0,INDEX(Objectives!$E:$E,MATCH(H$6,Objectives!$C:$C,0)))</f>
        <v>0</v>
      </c>
      <c r="I62" s="104" t="b">
        <f>IF(COUNTA(I$7:I$56)&gt;0,INDEX(Objectives!$E:$E,MATCH(I$6,Objectives!$C:$C,0)))</f>
        <v>0</v>
      </c>
      <c r="J62" s="104" t="b">
        <f>IF(COUNTA(J$7:J$56)&gt;0,INDEX(Objectives!$E:$E,MATCH(J$6,Objectives!$C:$C,0)))</f>
        <v>0</v>
      </c>
      <c r="K62" s="104" t="b">
        <f>IF(COUNTA(K$7:K$56)&gt;0,INDEX(Objectives!$E:$E,MATCH(K$6,Objectives!$C:$C,0)))</f>
        <v>0</v>
      </c>
      <c r="L62" s="104" t="b">
        <f>IF(COUNTA(L$7:L$56)&gt;0,INDEX(Objectives!$E:$E,MATCH(L$6,Objectives!$C:$C,0)))</f>
        <v>0</v>
      </c>
      <c r="M62" s="104" t="b">
        <f>IF(COUNTA(M$7:M$56)&gt;0,INDEX(Objectives!$E:$E,MATCH(M$6,Objectives!$C:$C,0)))</f>
        <v>0</v>
      </c>
      <c r="N62" s="104" t="b">
        <f>IF(COUNTA(N$7:N$56)&gt;0,INDEX(Objectives!$E:$E,MATCH(N$6,Objectives!$C:$C,0)))</f>
        <v>0</v>
      </c>
      <c r="O62" s="104" t="b">
        <f>IF(COUNTA(O$7:O$56)&gt;0,INDEX(Objectives!$E:$E,MATCH(O$6,Objectives!$C:$C,0)))</f>
        <v>0</v>
      </c>
      <c r="P62" s="104" t="b">
        <f>IF(COUNTA(P$7:P$56)&gt;0,INDEX(Objectives!$E:$E,MATCH(P$6,Objectives!$C:$C,0)))</f>
        <v>0</v>
      </c>
      <c r="Q62" s="104" t="b">
        <f>IF(COUNTA(Q$7:Q$56)&gt;0,INDEX(Objectives!$E:$E,MATCH(Q$6,Objectives!$C:$C,0)))</f>
        <v>0</v>
      </c>
      <c r="R62" s="104" t="b">
        <f>IF(COUNTA(R$7:R$56)&gt;0,INDEX(Objectives!$E:$E,MATCH(R$6,Objectives!$C:$C,0)))</f>
        <v>0</v>
      </c>
      <c r="S62" s="104" t="b">
        <f>IF(COUNTA(S$7:S$56)&gt;0,INDEX(Objectives!$E:$E,MATCH(S$6,Objectives!$C:$C,0)))</f>
        <v>0</v>
      </c>
      <c r="T62" s="104" t="b">
        <f>IF(COUNTA(T$7:T$56)&gt;0,INDEX(Objectives!$E:$E,MATCH(T$6,Objectives!$C:$C,0)))</f>
        <v>0</v>
      </c>
      <c r="U62" s="104" t="b">
        <f>IF(COUNTA(U$7:U$56)&gt;0,INDEX(Objectives!$E:$E,MATCH(U$6,Objectives!$C:$C,0)))</f>
        <v>0</v>
      </c>
      <c r="V62" s="104" t="b">
        <f>IF(COUNTA(V$7:V$56)&gt;0,INDEX(Objectives!$E:$E,MATCH(V$6,Objectives!$C:$C,0)))</f>
        <v>0</v>
      </c>
      <c r="W62" s="104" t="b">
        <f>IF(COUNTA(W$7:W$56)&gt;0,INDEX(Objectives!$E:$E,MATCH(W$6,Objectives!$C:$C,0)))</f>
        <v>0</v>
      </c>
      <c r="X62" s="104" t="b">
        <f>IF(COUNTA(X$7:X$56)&gt;0,INDEX(Objectives!$E:$E,MATCH(X$6,Objectives!$C:$C,0)))</f>
        <v>0</v>
      </c>
      <c r="Y62" s="104" t="b">
        <f>IF(COUNTA(Y$7:Y$56)&gt;0,INDEX(Objectives!$E:$E,MATCH(Y$6,Objectives!$C:$C,0)))</f>
        <v>0</v>
      </c>
      <c r="Z62" s="104" t="b">
        <f>IF(COUNTA(Z$7:Z$56)&gt;0,INDEX(Objectives!$E:$E,MATCH(Z$6,Objectives!$C:$C,0)))</f>
        <v>0</v>
      </c>
      <c r="AA62" s="104" t="b">
        <f>IF(COUNTA(AA$7:AA$56)&gt;0,INDEX(Objectives!$E:$E,MATCH(AA$6,Objectives!$C:$C,0)))</f>
        <v>0</v>
      </c>
      <c r="AB62" s="104" t="b">
        <f>IF(COUNTA(AB$7:AB$56)&gt;0,INDEX(Objectives!$E:$E,MATCH(AB$6,Objectives!$C:$C,0)))</f>
        <v>0</v>
      </c>
      <c r="AC62" s="104" t="b">
        <f>IF(COUNTA(AC$7:AC$56)&gt;0,INDEX(Objectives!$E:$E,MATCH(AC$6,Objectives!$C:$C,0)))</f>
        <v>0</v>
      </c>
      <c r="AD62" s="104" t="b">
        <f>IF(COUNTA(AD$7:AD$56)&gt;0,INDEX(Objectives!$E:$E,MATCH(AD$6,Objectives!$C:$C,0)))</f>
        <v>0</v>
      </c>
      <c r="AE62" s="104" t="b">
        <f>IF(COUNTA(AE$7:AE$56)&gt;0,INDEX(Objectives!$E:$E,MATCH(AE$6,Objectives!$C:$C,0)))</f>
        <v>0</v>
      </c>
      <c r="AF62" s="104" t="b">
        <f>IF(COUNTA(AF$7:AF$56)&gt;0,INDEX(Objectives!$E:$E,MATCH(AF$6,Objectives!$C:$C,0)))</f>
        <v>0</v>
      </c>
      <c r="AG62" s="104" t="b">
        <f>IF(COUNTA(AG$7:AG$56)&gt;0,INDEX(Objectives!$E:$E,MATCH(AG$6,Objectives!$C:$C,0)))</f>
        <v>0</v>
      </c>
      <c r="AH62" s="104" t="b">
        <f>IF(COUNTA(AH$7:AH$56)&gt;0,INDEX(Objectives!$E:$E,MATCH(AH$6,Objectives!$C:$C,0)))</f>
        <v>0</v>
      </c>
      <c r="AI62" s="104" t="b">
        <f>IF(COUNTA(AI$7:AI$56)&gt;0,INDEX(Objectives!$E:$E,MATCH(AI$6,Objectives!$C:$C,0)))</f>
        <v>0</v>
      </c>
      <c r="AJ62" s="104" t="b">
        <f>IF(COUNTA(AJ$7:AJ$56)&gt;0,INDEX(Objectives!$E:$E,MATCH(AJ$6,Objectives!$C:$C,0)))</f>
        <v>0</v>
      </c>
      <c r="AK62" s="104" t="b">
        <f>IF(COUNTA(AK$7:AK$56)&gt;0,INDEX(Objectives!$E:$E,MATCH(AK$6,Objectives!$C:$C,0)))</f>
        <v>0</v>
      </c>
      <c r="AL62" s="104" t="b">
        <f>IF(COUNTA(AL$7:AL$56)&gt;0,INDEX(Objectives!$E:$E,MATCH(AL$6,Objectives!$C:$C,0)))</f>
        <v>0</v>
      </c>
      <c r="AM62" s="104" t="b">
        <f>IF(COUNTA(AM$7:AM$56)&gt;0,INDEX(Objectives!$E:$E,MATCH(AM$6,Objectives!$C:$C,0)))</f>
        <v>0</v>
      </c>
      <c r="AN62" s="104" t="b">
        <f>IF(COUNTA(AN$7:AN$56)&gt;0,INDEX(Objectives!$E:$E,MATCH(AN$6,Objectives!$C:$C,0)))</f>
        <v>0</v>
      </c>
      <c r="AO62" s="104" t="b">
        <f>IF(COUNTA(AO$7:AO$56)&gt;0,INDEX(Objectives!$E:$E,MATCH(AO$6,Objectives!$C:$C,0)))</f>
        <v>0</v>
      </c>
      <c r="AP62" s="104" t="b">
        <f>IF(COUNTA(AP$7:AP$56)&gt;0,INDEX(Objectives!$E:$E,MATCH(AP$6,Objectives!$C:$C,0)))</f>
        <v>0</v>
      </c>
      <c r="AQ62" s="104" t="b">
        <f>IF(COUNTA(AQ$7:AQ$56)&gt;0,INDEX(Objectives!$E:$E,MATCH(AQ$6,Objectives!$C:$C,0)))</f>
        <v>0</v>
      </c>
      <c r="AR62" s="104" t="b">
        <f>IF(COUNTA(AR$7:AR$56)&gt;0,INDEX(Objectives!$E:$E,MATCH(AR$6,Objectives!$C:$C,0)))</f>
        <v>0</v>
      </c>
      <c r="AS62" s="104" t="b">
        <f>IF(COUNTA(AS$7:AS$56)&gt;0,INDEX(Objectives!$E:$E,MATCH(AS$6,Objectives!$C:$C,0)))</f>
        <v>0</v>
      </c>
      <c r="AT62" s="104" t="b">
        <f>IF(COUNTA(AT$7:AT$56)&gt;0,INDEX(Objectives!$E:$E,MATCH(AT$6,Objectives!$C:$C,0)))</f>
        <v>0</v>
      </c>
      <c r="AU62" s="104" t="b">
        <f>IF(COUNTA(AU$7:AU$56)&gt;0,INDEX(Objectives!$E:$E,MATCH(AU$6,Objectives!$C:$C,0)))</f>
        <v>0</v>
      </c>
      <c r="AV62" s="104" t="b">
        <f>IF(COUNTA(AV$7:AV$56)&gt;0,INDEX(Objectives!$E:$E,MATCH(AV$6,Objectives!$C:$C,0)))</f>
        <v>0</v>
      </c>
      <c r="AW62" s="104" t="b">
        <f>IF(COUNTA(AW$7:AW$56)&gt;0,INDEX(Objectives!$E:$E,MATCH(AW$6,Objectives!$C:$C,0)))</f>
        <v>0</v>
      </c>
      <c r="AX62" s="104" t="b">
        <f>IF(COUNTA(AX$7:AX$56)&gt;0,INDEX(Objectives!$E:$E,MATCH(AX$6,Objectives!$C:$C,0)))</f>
        <v>0</v>
      </c>
      <c r="AY62" s="104" t="b">
        <f>IF(COUNTA(AY$7:AY$56)&gt;0,INDEX(Objectives!$E:$E,MATCH(AY$6,Objectives!$C:$C,0)))</f>
        <v>0</v>
      </c>
      <c r="AZ62" s="266" t="b">
        <f>IF(COUNTA(AZ$7:AZ$56)&gt;0,INDEX(Objectives!$E:$E,MATCH(AZ$6,Objectives!$C:$C,0)))</f>
        <v>0</v>
      </c>
      <c r="BA62" s="266" t="b">
        <f>IF(COUNTA(BA$7:BA$56)&gt;0,INDEX(Objectives!$E:$E,MATCH(BA$6,Objectives!$C:$C,0)))</f>
        <v>0</v>
      </c>
      <c r="BB62" s="266" t="b">
        <f>IF(COUNTA(BB$7:BB$56)&gt;0,INDEX(Objectives!$E:$E,MATCH(BB$6,Objectives!$C:$C,0)))</f>
        <v>0</v>
      </c>
      <c r="BC62" s="104">
        <f>SUM(E62:BB62)</f>
        <v>0</v>
      </c>
      <c r="BD62" s="104"/>
    </row>
    <row r="63" spans="2:56" ht="15" customHeight="1" x14ac:dyDescent="0.25">
      <c r="B63" s="104"/>
      <c r="C63" s="104"/>
      <c r="D63" s="104" t="s">
        <v>707</v>
      </c>
      <c r="E63" s="104" t="b">
        <f>IF(COUNTA(E$7:E$56)&gt;0,INDEX(Objectives!$F:$F,MATCH(E$6,Objectives!$C:$C,0)))</f>
        <v>0</v>
      </c>
      <c r="F63" s="104" t="b">
        <f>IF(COUNTA(F$7:F$56)&gt;0,INDEX(Objectives!$F:$F,MATCH(F$6,Objectives!$C:$C,0)))</f>
        <v>0</v>
      </c>
      <c r="G63" s="104" t="b">
        <f>IF(COUNTA(G$7:G$56)&gt;0,INDEX(Objectives!$F:$F,MATCH(G$6,Objectives!$C:$C,0)))</f>
        <v>0</v>
      </c>
      <c r="H63" s="104" t="b">
        <f>IF(COUNTA(H$7:H$56)&gt;0,INDEX(Objectives!$F:$F,MATCH(H$6,Objectives!$C:$C,0)))</f>
        <v>0</v>
      </c>
      <c r="I63" s="104" t="b">
        <f>IF(COUNTA(I$7:I$56)&gt;0,INDEX(Objectives!$F:$F,MATCH(I$6,Objectives!$C:$C,0)))</f>
        <v>0</v>
      </c>
      <c r="J63" s="104" t="b">
        <f>IF(COUNTA(J$7:J$56)&gt;0,INDEX(Objectives!$F:$F,MATCH(J$6,Objectives!$C:$C,0)))</f>
        <v>0</v>
      </c>
      <c r="K63" s="104" t="b">
        <f>IF(COUNTA(K$7:K$56)&gt;0,INDEX(Objectives!$F:$F,MATCH(K$6,Objectives!$C:$C,0)))</f>
        <v>0</v>
      </c>
      <c r="L63" s="104" t="b">
        <f>IF(COUNTA(L$7:L$56)&gt;0,INDEX(Objectives!$F:$F,MATCH(L$6,Objectives!$C:$C,0)))</f>
        <v>0</v>
      </c>
      <c r="M63" s="104" t="b">
        <f>IF(COUNTA(M$7:M$56)&gt;0,INDEX(Objectives!$F:$F,MATCH(M$6,Objectives!$C:$C,0)))</f>
        <v>0</v>
      </c>
      <c r="N63" s="104" t="b">
        <f>IF(COUNTA(N$7:N$56)&gt;0,INDEX(Objectives!$F:$F,MATCH(N$6,Objectives!$C:$C,0)))</f>
        <v>0</v>
      </c>
      <c r="O63" s="104" t="b">
        <f>IF(COUNTA(O$7:O$56)&gt;0,INDEX(Objectives!$F:$F,MATCH(O$6,Objectives!$C:$C,0)))</f>
        <v>0</v>
      </c>
      <c r="P63" s="104" t="b">
        <f>IF(COUNTA(P$7:P$56)&gt;0,INDEX(Objectives!$F:$F,MATCH(P$6,Objectives!$C:$C,0)))</f>
        <v>0</v>
      </c>
      <c r="Q63" s="104" t="b">
        <f>IF(COUNTA(Q$7:Q$56)&gt;0,INDEX(Objectives!$F:$F,MATCH(Q$6,Objectives!$C:$C,0)))</f>
        <v>0</v>
      </c>
      <c r="R63" s="104" t="b">
        <f>IF(COUNTA(R$7:R$56)&gt;0,INDEX(Objectives!$F:$F,MATCH(R$6,Objectives!$C:$C,0)))</f>
        <v>0</v>
      </c>
      <c r="S63" s="104" t="b">
        <f>IF(COUNTA(S$7:S$56)&gt;0,INDEX(Objectives!$F:$F,MATCH(S$6,Objectives!$C:$C,0)))</f>
        <v>0</v>
      </c>
      <c r="T63" s="104" t="b">
        <f>IF(COUNTA(T$7:T$56)&gt;0,INDEX(Objectives!$F:$F,MATCH(T$6,Objectives!$C:$C,0)))</f>
        <v>0</v>
      </c>
      <c r="U63" s="104" t="b">
        <f>IF(COUNTA(U$7:U$56)&gt;0,INDEX(Objectives!$F:$F,MATCH(U$6,Objectives!$C:$C,0)))</f>
        <v>0</v>
      </c>
      <c r="V63" s="104" t="b">
        <f>IF(COUNTA(V$7:V$56)&gt;0,INDEX(Objectives!$F:$F,MATCH(V$6,Objectives!$C:$C,0)))</f>
        <v>0</v>
      </c>
      <c r="W63" s="104" t="b">
        <f>IF(COUNTA(W$7:W$56)&gt;0,INDEX(Objectives!$F:$F,MATCH(W$6,Objectives!$C:$C,0)))</f>
        <v>0</v>
      </c>
      <c r="X63" s="104" t="b">
        <f>IF(COUNTA(X$7:X$56)&gt;0,INDEX(Objectives!$F:$F,MATCH(X$6,Objectives!$C:$C,0)))</f>
        <v>0</v>
      </c>
      <c r="Y63" s="104" t="b">
        <f>IF(COUNTA(Y$7:Y$56)&gt;0,INDEX(Objectives!$F:$F,MATCH(Y$6,Objectives!$C:$C,0)))</f>
        <v>0</v>
      </c>
      <c r="Z63" s="104" t="b">
        <f>IF(COUNTA(Z$7:Z$56)&gt;0,INDEX(Objectives!$F:$F,MATCH(Z$6,Objectives!$C:$C,0)))</f>
        <v>0</v>
      </c>
      <c r="AA63" s="104" t="b">
        <f>IF(COUNTA(AA$7:AA$56)&gt;0,INDEX(Objectives!$F:$F,MATCH(AA$6,Objectives!$C:$C,0)))</f>
        <v>0</v>
      </c>
      <c r="AB63" s="104" t="b">
        <f>IF(COUNTA(AB$7:AB$56)&gt;0,INDEX(Objectives!$F:$F,MATCH(AB$6,Objectives!$C:$C,0)))</f>
        <v>0</v>
      </c>
      <c r="AC63" s="104" t="b">
        <f>IF(COUNTA(AC$7:AC$56)&gt;0,INDEX(Objectives!$F:$F,MATCH(AC$6,Objectives!$C:$C,0)))</f>
        <v>0</v>
      </c>
      <c r="AD63" s="104" t="b">
        <f>IF(COUNTA(AD$7:AD$56)&gt;0,INDEX(Objectives!$F:$F,MATCH(AD$6,Objectives!$C:$C,0)))</f>
        <v>0</v>
      </c>
      <c r="AE63" s="104" t="b">
        <f>IF(COUNTA(AE$7:AE$56)&gt;0,INDEX(Objectives!$F:$F,MATCH(AE$6,Objectives!$C:$C,0)))</f>
        <v>0</v>
      </c>
      <c r="AF63" s="104" t="b">
        <f>IF(COUNTA(AF$7:AF$56)&gt;0,INDEX(Objectives!$F:$F,MATCH(AF$6,Objectives!$C:$C,0)))</f>
        <v>0</v>
      </c>
      <c r="AG63" s="104" t="b">
        <f>IF(COUNTA(AG$7:AG$56)&gt;0,INDEX(Objectives!$F:$F,MATCH(AG$6,Objectives!$C:$C,0)))</f>
        <v>0</v>
      </c>
      <c r="AH63" s="104" t="b">
        <f>IF(COUNTA(AH$7:AH$56)&gt;0,INDEX(Objectives!$F:$F,MATCH(AH$6,Objectives!$C:$C,0)))</f>
        <v>0</v>
      </c>
      <c r="AI63" s="104" t="b">
        <f>IF(COUNTA(AI$7:AI$56)&gt;0,INDEX(Objectives!$F:$F,MATCH(AI$6,Objectives!$C:$C,0)))</f>
        <v>0</v>
      </c>
      <c r="AJ63" s="104" t="b">
        <f>IF(COUNTA(AJ$7:AJ$56)&gt;0,INDEX(Objectives!$F:$F,MATCH(AJ$6,Objectives!$C:$C,0)))</f>
        <v>0</v>
      </c>
      <c r="AK63" s="104" t="b">
        <f>IF(COUNTA(AK$7:AK$56)&gt;0,INDEX(Objectives!$F:$F,MATCH(AK$6,Objectives!$C:$C,0)))</f>
        <v>0</v>
      </c>
      <c r="AL63" s="104" t="b">
        <f>IF(COUNTA(AL$7:AL$56)&gt;0,INDEX(Objectives!$F:$F,MATCH(AL$6,Objectives!$C:$C,0)))</f>
        <v>0</v>
      </c>
      <c r="AM63" s="104" t="b">
        <f>IF(COUNTA(AM$7:AM$56)&gt;0,INDEX(Objectives!$F:$F,MATCH(AM$6,Objectives!$C:$C,0)))</f>
        <v>0</v>
      </c>
      <c r="AN63" s="104" t="b">
        <f>IF(COUNTA(AN$7:AN$56)&gt;0,INDEX(Objectives!$F:$F,MATCH(AN$6,Objectives!$C:$C,0)))</f>
        <v>0</v>
      </c>
      <c r="AO63" s="104" t="b">
        <f>IF(COUNTA(AO$7:AO$56)&gt;0,INDEX(Objectives!$F:$F,MATCH(AO$6,Objectives!$C:$C,0)))</f>
        <v>0</v>
      </c>
      <c r="AP63" s="104" t="b">
        <f>IF(COUNTA(AP$7:AP$56)&gt;0,INDEX(Objectives!$F:$F,MATCH(AP$6,Objectives!$C:$C,0)))</f>
        <v>0</v>
      </c>
      <c r="AQ63" s="104" t="b">
        <f>IF(COUNTA(AQ$7:AQ$56)&gt;0,INDEX(Objectives!$F:$F,MATCH(AQ$6,Objectives!$C:$C,0)))</f>
        <v>0</v>
      </c>
      <c r="AR63" s="104" t="b">
        <f>IF(COUNTA(AR$7:AR$56)&gt;0,INDEX(Objectives!$F:$F,MATCH(AR$6,Objectives!$C:$C,0)))</f>
        <v>0</v>
      </c>
      <c r="AS63" s="104" t="b">
        <f>IF(COUNTA(AS$7:AS$56)&gt;0,INDEX(Objectives!$F:$F,MATCH(AS$6,Objectives!$C:$C,0)))</f>
        <v>0</v>
      </c>
      <c r="AT63" s="104" t="b">
        <f>IF(COUNTA(AT$7:AT$56)&gt;0,INDEX(Objectives!$F:$F,MATCH(AT$6,Objectives!$C:$C,0)))</f>
        <v>0</v>
      </c>
      <c r="AU63" s="104" t="b">
        <f>IF(COUNTA(AU$7:AU$56)&gt;0,INDEX(Objectives!$F:$F,MATCH(AU$6,Objectives!$C:$C,0)))</f>
        <v>0</v>
      </c>
      <c r="AV63" s="104" t="b">
        <f>IF(COUNTA(AV$7:AV$56)&gt;0,INDEX(Objectives!$F:$F,MATCH(AV$6,Objectives!$C:$C,0)))</f>
        <v>0</v>
      </c>
      <c r="AW63" s="104" t="b">
        <f>IF(COUNTA(AW$7:AW$56)&gt;0,INDEX(Objectives!$F:$F,MATCH(AW$6,Objectives!$C:$C,0)))</f>
        <v>0</v>
      </c>
      <c r="AX63" s="104" t="b">
        <f>IF(COUNTA(AX$7:AX$56)&gt;0,INDEX(Objectives!$F:$F,MATCH(AX$6,Objectives!$C:$C,0)))</f>
        <v>0</v>
      </c>
      <c r="AY63" s="104" t="b">
        <f>IF(COUNTA(AY$7:AY$56)&gt;0,INDEX(Objectives!$F:$F,MATCH(AY$6,Objectives!$C:$C,0)))</f>
        <v>0</v>
      </c>
      <c r="AZ63" s="266" t="b">
        <f>IF(COUNTA(AZ$7:AZ$56)&gt;0,INDEX(Objectives!$F:$F,MATCH(AZ$6,Objectives!$C:$C,0)))</f>
        <v>0</v>
      </c>
      <c r="BA63" s="266" t="b">
        <f>IF(COUNTA(BA$7:BA$56)&gt;0,INDEX(Objectives!$F:$F,MATCH(BA$6,Objectives!$C:$C,0)))</f>
        <v>0</v>
      </c>
      <c r="BB63" s="266" t="b">
        <f>IF(COUNTA(BB$7:BB$56)&gt;0,INDEX(Objectives!$F:$F,MATCH(BB$6,Objectives!$C:$C,0)))</f>
        <v>0</v>
      </c>
      <c r="BC63" s="104">
        <f>SUM(E63:BB63)</f>
        <v>0</v>
      </c>
      <c r="BD63" s="104"/>
    </row>
  </sheetData>
  <mergeCells count="3">
    <mergeCell ref="E3:P3"/>
    <mergeCell ref="C6:D6"/>
    <mergeCell ref="D58:E58"/>
  </mergeCells>
  <dataValidations count="1">
    <dataValidation type="list" allowBlank="1" prompt="(Enables) We take or tolerate this risk to enable the achievement of this objective_x000a_(Jeopardises) This risk jeopardizes this objective " sqref="E7:BB56" xr:uid="{00000000-0002-0000-0F00-000000000000}">
      <formula1>"Enables,Jeopardises"</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BD14"/>
  <sheetViews>
    <sheetView zoomScaleNormal="100" workbookViewId="0"/>
  </sheetViews>
  <sheetFormatPr defaultColWidth="8.7109375" defaultRowHeight="15" x14ac:dyDescent="0.25"/>
  <cols>
    <col min="1" max="1" width="1.5703125" customWidth="1"/>
    <col min="3" max="3" width="5.85546875" customWidth="1"/>
    <col min="4" max="4" width="80.7109375" customWidth="1"/>
    <col min="6" max="6" width="1.5703125" customWidth="1"/>
    <col min="8" max="8" width="8" customWidth="1"/>
    <col min="24" max="24" width="1.7109375" customWidth="1"/>
    <col min="25" max="25" width="9.140625" customWidth="1"/>
  </cols>
  <sheetData>
    <row r="2" spans="1:56" ht="12.75" customHeight="1" x14ac:dyDescent="0.25">
      <c r="A2" s="104"/>
      <c r="B2" s="7"/>
      <c r="C2" s="142"/>
      <c r="D2" s="8"/>
      <c r="E2" s="8"/>
      <c r="F2" s="9"/>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row>
    <row r="3" spans="1:56" ht="36" customHeight="1" x14ac:dyDescent="0.25">
      <c r="A3" s="104"/>
      <c r="B3" s="10"/>
      <c r="C3" s="143" t="str">
        <f>IF(SelectedBU="","",INDEX(ReportingUnits,SelectedBU,1))</f>
        <v>Company 3</v>
      </c>
      <c r="D3" s="144"/>
      <c r="E3" s="267" t="s">
        <v>708</v>
      </c>
      <c r="F3" s="13"/>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row>
    <row r="4" spans="1:56" ht="4.5" customHeight="1" x14ac:dyDescent="0.25">
      <c r="A4" s="104"/>
      <c r="B4" s="10"/>
      <c r="C4" s="146"/>
      <c r="D4" s="15"/>
      <c r="E4" s="15"/>
      <c r="F4" s="13"/>
      <c r="G4" s="106"/>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row>
    <row r="5" spans="1:56" ht="4.5" customHeight="1" x14ac:dyDescent="0.25">
      <c r="A5" s="104"/>
      <c r="B5" s="10"/>
      <c r="C5" s="148"/>
      <c r="D5" s="11"/>
      <c r="E5" s="11"/>
      <c r="F5" s="13"/>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row>
    <row r="6" spans="1:56" ht="15" customHeight="1" x14ac:dyDescent="0.25">
      <c r="A6" s="104"/>
      <c r="B6" s="10"/>
      <c r="C6" s="431" t="s">
        <v>709</v>
      </c>
      <c r="D6" s="431" t="s">
        <v>468</v>
      </c>
      <c r="E6" s="431" t="s">
        <v>469</v>
      </c>
      <c r="F6" s="13"/>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row>
    <row r="7" spans="1:56" ht="15" customHeight="1" x14ac:dyDescent="0.25">
      <c r="A7" s="104"/>
      <c r="B7" s="10"/>
      <c r="C7" s="431"/>
      <c r="D7" s="431"/>
      <c r="E7" s="431"/>
      <c r="F7" s="13"/>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row>
    <row r="8" spans="1:56" ht="60" customHeight="1" x14ac:dyDescent="0.25">
      <c r="A8" s="241"/>
      <c r="B8" s="152"/>
      <c r="C8" s="268">
        <v>1</v>
      </c>
      <c r="D8" s="269"/>
      <c r="E8" s="269"/>
      <c r="F8" s="162"/>
      <c r="G8" s="241"/>
      <c r="H8" s="241"/>
      <c r="I8" s="241"/>
      <c r="J8" s="241"/>
      <c r="K8" s="241"/>
      <c r="L8" s="241"/>
      <c r="M8" s="241"/>
      <c r="N8" s="241"/>
      <c r="O8" s="241"/>
      <c r="P8" s="241"/>
      <c r="Q8" s="241"/>
      <c r="R8" s="241"/>
      <c r="S8" s="241"/>
      <c r="T8" s="241"/>
      <c r="U8" s="241"/>
      <c r="V8" s="241"/>
      <c r="W8" s="241"/>
      <c r="X8" s="104"/>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row>
    <row r="9" spans="1:56" ht="60" customHeight="1" x14ac:dyDescent="0.25">
      <c r="A9" s="241"/>
      <c r="B9" s="152"/>
      <c r="C9" s="268">
        <v>2</v>
      </c>
      <c r="D9" s="269"/>
      <c r="E9" s="269"/>
      <c r="F9" s="162"/>
      <c r="G9" s="241"/>
      <c r="H9" s="241"/>
      <c r="I9" s="241"/>
      <c r="J9" s="241"/>
      <c r="K9" s="241"/>
      <c r="L9" s="241"/>
      <c r="M9" s="241"/>
      <c r="N9" s="241"/>
      <c r="O9" s="241"/>
      <c r="P9" s="241"/>
      <c r="Q9" s="241"/>
      <c r="R9" s="241"/>
      <c r="S9" s="241"/>
      <c r="T9" s="241"/>
      <c r="U9" s="241"/>
      <c r="V9" s="241"/>
      <c r="W9" s="241"/>
      <c r="X9" s="104"/>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row>
    <row r="10" spans="1:56" ht="60" customHeight="1" x14ac:dyDescent="0.25">
      <c r="A10" s="241"/>
      <c r="B10" s="152"/>
      <c r="C10" s="268">
        <v>3</v>
      </c>
      <c r="D10" s="269"/>
      <c r="E10" s="269"/>
      <c r="F10" s="162"/>
      <c r="G10" s="241"/>
      <c r="H10" s="241"/>
      <c r="I10" s="241"/>
      <c r="J10" s="241"/>
      <c r="K10" s="241"/>
      <c r="L10" s="241"/>
      <c r="M10" s="241"/>
      <c r="N10" s="241"/>
      <c r="O10" s="241"/>
      <c r="P10" s="241"/>
      <c r="Q10" s="241"/>
      <c r="R10" s="241"/>
      <c r="S10" s="241"/>
      <c r="T10" s="241"/>
      <c r="U10" s="241"/>
      <c r="V10" s="241"/>
      <c r="W10" s="241"/>
      <c r="X10" s="104"/>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row>
    <row r="11" spans="1:56" ht="60" customHeight="1" x14ac:dyDescent="0.25">
      <c r="A11" s="241"/>
      <c r="B11" s="152"/>
      <c r="C11" s="268">
        <v>4</v>
      </c>
      <c r="D11" s="269"/>
      <c r="E11" s="269"/>
      <c r="F11" s="162"/>
      <c r="G11" s="241"/>
      <c r="H11" s="241"/>
      <c r="I11" s="241"/>
      <c r="J11" s="241"/>
      <c r="K11" s="241"/>
      <c r="L11" s="241"/>
      <c r="M11" s="241"/>
      <c r="N11" s="241"/>
      <c r="O11" s="241"/>
      <c r="P11" s="241"/>
      <c r="Q11" s="241"/>
      <c r="R11" s="241"/>
      <c r="S11" s="241"/>
      <c r="T11" s="241"/>
      <c r="U11" s="241"/>
      <c r="V11" s="241"/>
      <c r="W11" s="241"/>
      <c r="X11" s="104"/>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row>
    <row r="12" spans="1:56" ht="60" customHeight="1" x14ac:dyDescent="0.25">
      <c r="A12" s="241"/>
      <c r="B12" s="152"/>
      <c r="C12" s="268">
        <v>5</v>
      </c>
      <c r="D12" s="269"/>
      <c r="E12" s="269"/>
      <c r="F12" s="162"/>
      <c r="G12" s="241"/>
      <c r="H12" s="241"/>
      <c r="I12" s="241"/>
      <c r="J12" s="241"/>
      <c r="K12" s="241"/>
      <c r="L12" s="241"/>
      <c r="M12" s="241"/>
      <c r="N12" s="241"/>
      <c r="O12" s="241"/>
      <c r="P12" s="241"/>
      <c r="Q12" s="241"/>
      <c r="R12" s="241"/>
      <c r="S12" s="241"/>
      <c r="T12" s="241"/>
      <c r="U12" s="241"/>
      <c r="V12" s="241"/>
      <c r="W12" s="241"/>
      <c r="X12" s="104"/>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row>
    <row r="13" spans="1:56" ht="15" customHeight="1" x14ac:dyDescent="0.25">
      <c r="A13" s="241"/>
      <c r="B13" s="152"/>
      <c r="C13" s="166"/>
      <c r="D13" s="124">
        <f>COUNTA(D8:D12)</f>
        <v>0</v>
      </c>
      <c r="E13" s="124">
        <f>COUNTA(E8:E12)</f>
        <v>0</v>
      </c>
      <c r="F13" s="162"/>
      <c r="G13" s="241"/>
      <c r="H13" s="241"/>
      <c r="I13" s="241"/>
      <c r="J13" s="241"/>
      <c r="K13" s="241"/>
      <c r="L13" s="241"/>
      <c r="M13" s="241"/>
      <c r="N13" s="241"/>
      <c r="O13" s="241"/>
      <c r="P13" s="241"/>
      <c r="Q13" s="241"/>
      <c r="R13" s="241"/>
      <c r="S13" s="241"/>
      <c r="T13" s="241"/>
      <c r="U13" s="241"/>
      <c r="V13" s="241"/>
      <c r="W13" s="241"/>
      <c r="X13" s="104"/>
      <c r="Y13" s="241"/>
      <c r="Z13" s="241"/>
      <c r="AA13" s="241"/>
      <c r="AB13" s="241"/>
      <c r="AC13" s="241"/>
      <c r="AD13" s="241"/>
      <c r="AE13" s="241"/>
      <c r="AF13" s="241"/>
      <c r="AG13" s="241"/>
      <c r="AH13" s="241"/>
      <c r="AI13" s="241"/>
      <c r="AJ13" s="241"/>
      <c r="AK13" s="241"/>
      <c r="AL13" s="241"/>
      <c r="AM13" s="241"/>
      <c r="AN13" s="241"/>
      <c r="AO13" s="241"/>
      <c r="AP13" s="241"/>
      <c r="AQ13" s="241"/>
      <c r="AR13" s="241"/>
    </row>
    <row r="14" spans="1:56" ht="15" customHeight="1" x14ac:dyDescent="0.25">
      <c r="A14" s="104"/>
      <c r="B14" s="35"/>
      <c r="C14" s="419"/>
      <c r="D14" s="419"/>
      <c r="E14" s="419"/>
      <c r="F14" s="38"/>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row>
  </sheetData>
  <mergeCells count="4">
    <mergeCell ref="C6:C7"/>
    <mergeCell ref="D6:D7"/>
    <mergeCell ref="E6:E7"/>
    <mergeCell ref="C14:E1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H40"/>
  <sheetViews>
    <sheetView zoomScaleNormal="100" workbookViewId="0"/>
  </sheetViews>
  <sheetFormatPr defaultColWidth="8.7109375" defaultRowHeight="15" x14ac:dyDescent="0.25"/>
  <cols>
    <col min="1" max="1" width="1.7109375" customWidth="1"/>
    <col min="2" max="2" width="5.7109375" customWidth="1"/>
    <col min="3" max="3" width="15.7109375" customWidth="1"/>
    <col min="5" max="5" width="49.140625" customWidth="1"/>
    <col min="6" max="6" width="7.7109375" customWidth="1"/>
    <col min="9" max="9" width="1.7109375" customWidth="1"/>
    <col min="10" max="10" width="5.7109375" customWidth="1"/>
    <col min="11" max="11" width="7.7109375" customWidth="1"/>
    <col min="12" max="12" width="10.7109375" customWidth="1"/>
    <col min="13" max="13" width="7.7109375" customWidth="1"/>
    <col min="14" max="14" width="10.7109375" customWidth="1"/>
    <col min="15" max="15" width="7.7109375" customWidth="1"/>
    <col min="16" max="16" width="10.7109375" customWidth="1"/>
    <col min="17" max="17" width="7.7109375" customWidth="1"/>
    <col min="18" max="18" width="10.7109375" customWidth="1"/>
    <col min="19" max="19" width="7.7109375" customWidth="1"/>
    <col min="20" max="20" width="3.7109375" customWidth="1"/>
    <col min="21" max="21" width="7.7109375" customWidth="1"/>
    <col min="26" max="26" width="3.7109375" customWidth="1"/>
    <col min="27" max="27" width="10.28515625" customWidth="1"/>
    <col min="28" max="28" width="7.7109375" customWidth="1"/>
    <col min="29" max="29" width="10.7109375" customWidth="1"/>
    <col min="32" max="32" width="1.7109375" customWidth="1"/>
    <col min="33" max="33" width="13.7109375" customWidth="1"/>
    <col min="34" max="34" width="26.7109375" customWidth="1"/>
    <col min="35" max="35" width="1.7109375" customWidth="1"/>
    <col min="36" max="36" width="9.140625" customWidth="1"/>
  </cols>
  <sheetData>
    <row r="1" spans="2:34" ht="9" customHeight="1" x14ac:dyDescent="0.25">
      <c r="B1" s="270"/>
      <c r="C1" s="270"/>
      <c r="D1" s="270"/>
      <c r="E1" s="270"/>
      <c r="F1" s="270"/>
      <c r="G1" s="270"/>
      <c r="H1" s="270"/>
      <c r="J1" s="270"/>
      <c r="K1" s="270"/>
      <c r="L1" s="270"/>
      <c r="M1" s="270"/>
      <c r="N1" s="270"/>
      <c r="O1" s="270"/>
      <c r="P1" s="270"/>
      <c r="Q1" s="270"/>
      <c r="R1" s="270"/>
      <c r="S1" s="270"/>
    </row>
    <row r="2" spans="2:34" ht="27" customHeight="1" x14ac:dyDescent="0.25">
      <c r="B2" s="271" t="s">
        <v>710</v>
      </c>
      <c r="C2" s="271" t="s">
        <v>711</v>
      </c>
      <c r="D2" s="271" t="s">
        <v>712</v>
      </c>
      <c r="E2" s="271" t="s">
        <v>713</v>
      </c>
      <c r="F2" s="271" t="s">
        <v>714</v>
      </c>
      <c r="G2" s="271" t="s">
        <v>715</v>
      </c>
      <c r="H2" s="271" t="s">
        <v>716</v>
      </c>
      <c r="J2" s="271" t="s">
        <v>710</v>
      </c>
      <c r="K2" s="271" t="s">
        <v>717</v>
      </c>
      <c r="L2" s="271" t="s">
        <v>718</v>
      </c>
      <c r="M2" s="271" t="s">
        <v>719</v>
      </c>
      <c r="N2" s="271" t="s">
        <v>720</v>
      </c>
      <c r="O2" s="271" t="s">
        <v>721</v>
      </c>
      <c r="P2" s="271" t="s">
        <v>722</v>
      </c>
      <c r="Q2" s="271" t="s">
        <v>723</v>
      </c>
      <c r="R2" s="271" t="s">
        <v>724</v>
      </c>
      <c r="S2" s="271" t="s">
        <v>725</v>
      </c>
      <c r="U2" s="271" t="s">
        <v>726</v>
      </c>
      <c r="V2" s="271" t="s">
        <v>727</v>
      </c>
      <c r="W2" s="271" t="s">
        <v>728</v>
      </c>
      <c r="X2" s="271" t="s">
        <v>729</v>
      </c>
      <c r="Y2" s="271" t="s">
        <v>42</v>
      </c>
      <c r="AA2" s="271" t="s">
        <v>730</v>
      </c>
      <c r="AB2" s="271" t="s">
        <v>714</v>
      </c>
      <c r="AC2" s="271">
        <f>E55</f>
        <v>0</v>
      </c>
      <c r="AD2" s="271" t="s">
        <v>731</v>
      </c>
      <c r="AE2" s="271" t="s">
        <v>732</v>
      </c>
      <c r="AG2" s="107" t="s">
        <v>711</v>
      </c>
      <c r="AH2" s="107" t="s">
        <v>712</v>
      </c>
    </row>
    <row r="3" spans="2:34" ht="15" customHeight="1" x14ac:dyDescent="0.25">
      <c r="B3" s="272">
        <v>1</v>
      </c>
      <c r="C3" s="273"/>
      <c r="D3" s="274"/>
      <c r="E3" s="275" t="str">
        <f ca="1">RiskList!A2&amp;": "&amp;RiskList!B2</f>
        <v xml:space="preserve">Company 101: </v>
      </c>
      <c r="F3" s="276" t="str">
        <f ca="1">IF($L3=0%,"",IF(AND($L3&gt;MatrixImpact!$C$8,$L3&lt;=MatrixImpact!$D$8),5,IF(AND($L3&gt;MatrixImpact!$C$7,$L3&lt;=MatrixImpact!$D$7),4,IF(AND($L3&gt;MatrixImpact!$C$6,$L3&lt;=MatrixImpact!$D$6),3,IF(AND($L3&gt;MatrixImpact!$C$5,$L3&lt;=MatrixImpact!$D$5),2,IF(AND($L3&gt;MatrixImpact!$C$4,$L3&lt;=MatrixImpact!$D$4),1,""))))))</f>
        <v/>
      </c>
      <c r="G3" s="277" t="str">
        <f ca="1">IF($P3&gt;MatrixImpact!$C$14,5,IF(AND($P3&gt;MatrixImpact!$C$13,$P3&lt;=MatrixImpact!$D$13),4,IF(AND($P3&gt;MatrixImpact!$C$12,$P3&lt;=MatrixImpact!$D$12),3,IF(AND($P3&gt;MatrixImpact!$C$11,$P3&lt;=MatrixImpact!$D$11),2,IF(AND($P3&gt;MatrixImpact!$C$10,$P3&lt;=MatrixImpact!$D$10),1,"")))))</f>
        <v/>
      </c>
      <c r="H3" s="278">
        <f t="shared" ref="H3:H40" ca="1" si="0">INDIRECT(ADDRESS(ROW()+6,9,1,1,"Top 10 Risks"))</f>
        <v>0</v>
      </c>
      <c r="J3" s="279">
        <f t="shared" ref="J3:J40" si="1">B3</f>
        <v>1</v>
      </c>
      <c r="K3" s="280" t="str">
        <f ca="1">IF(F3=MatrixImpact!$B$4,MatrixImpact!$C$4,IF(F3=MatrixImpact!$B$5,MatrixImpact!$C$5,IF(F3=MatrixImpact!$B$6,MatrixImpact!$C$6,IF(F3=MatrixImpact!$B$7,MatrixImpact!$C$7,IF(F3=MatrixImpact!$B$8,MatrixImpact!$C$8,"")))))</f>
        <v/>
      </c>
      <c r="L3" s="281">
        <f t="shared" ref="L3:L40" ca="1" si="2">INDIRECT(ADDRESS(ROW()+6,10,1,1,"Top 10 Risks"))</f>
        <v>0</v>
      </c>
      <c r="M3" s="280" t="str">
        <f ca="1">IF(F3=MatrixImpact!$B$4,MatrixImpact!$D$4,IF(F3=MatrixImpact!$B$5,MatrixImpact!$D$5,IF(F3=MatrixImpact!$B$6,MatrixImpact!$D$6,IF(F3=MatrixImpact!$B$7,MatrixImpact!$D$7,IF(F3=MatrixImpact!$B$8,MatrixImpact!$D$8,"")))))</f>
        <v/>
      </c>
      <c r="N3" s="282"/>
      <c r="O3" s="283" t="str">
        <f ca="1">IF(G3=MatrixImpact!$B$10,MatrixImpact!$C$10,IF(G3=MatrixImpact!$B$11,MatrixImpact!$C$11,IF(G3=MatrixImpact!$B$12,MatrixImpact!$C$12,IF(G3=MatrixImpact!$B$13,MatrixImpact!$C$13,IF(G3=MatrixImpact!$B$14,MatrixImpact!$C$14,"")))))</f>
        <v/>
      </c>
      <c r="P3" s="284">
        <f t="shared" ref="P3:P40" ca="1" si="3">INDIRECT(ADDRESS(ROW()+6,8,1,1,"Top 10 Risks"))</f>
        <v>0</v>
      </c>
      <c r="Q3" s="283" t="str">
        <f ca="1">IF(IF(G3=MatrixImpact!$B$10,MatrixImpact!$D$10,IF(G3=MatrixImpact!$B$11,MatrixImpact!$D$11,IF(G3=MatrixImpact!$B$12,MatrixImpact!$D$12,IF(G3=MatrixImpact!$B$13,MatrixImpact!$D$13,IF(G3=MatrixImpact!$B$14,MatrixImpact!$D$14,"")))))&lt;P3,P3,IF(G3=MatrixImpact!$B$10,MatrixImpact!$D$10,IF(G3=MatrixImpact!$B$11,MatrixImpact!$D$11,IF(G3=MatrixImpact!$B$12,MatrixImpact!$D$12,IF(G3=MatrixImpact!$B$13,MatrixImpact!$D$13,IF(G3=MatrixImpact!$B$14,MatrixImpact!$D$14,""))))))</f>
        <v/>
      </c>
      <c r="R3" s="285"/>
      <c r="S3" s="283">
        <f t="shared" ref="S3:S40" si="4">N3*R3</f>
        <v>0</v>
      </c>
      <c r="U3" s="286">
        <v>1</v>
      </c>
      <c r="V3" s="286">
        <v>1</v>
      </c>
      <c r="W3" s="287">
        <f>INDEX(MatrixImpact!C$4:C$8,MATCH($U3,MatrixImpact!$B$4:$B$8,0),1)*INDEX(MatrixImpact!C$10:C$14,MATCH($V3,MatrixImpact!$B$10:$B$14,0),1)</f>
        <v>0</v>
      </c>
      <c r="X3" s="287">
        <f>INDEX(MatrixImpact!D$4:D$8,MATCH($U3,MatrixImpact!$B$4:$B$8,0),1)*INDEX(MatrixImpact!D$10:D$14,MATCH($V3,MatrixImpact!$B$10:$B$14,0),1)</f>
        <v>0.2</v>
      </c>
      <c r="Y3" s="34" t="b">
        <f t="shared" ref="Y3:Y27" si="5">IF(AND($AE$4&gt;=W3,$AD$4&lt;=X3),TRUE(),FALSE())</f>
        <v>1</v>
      </c>
      <c r="AA3" s="283"/>
      <c r="AB3" s="280">
        <v>1</v>
      </c>
      <c r="AC3" s="283">
        <f>F55</f>
        <v>0</v>
      </c>
      <c r="AD3" s="283"/>
      <c r="AE3" s="283"/>
      <c r="AG3" s="111"/>
      <c r="AH3" s="34"/>
    </row>
    <row r="4" spans="2:34" ht="15" customHeight="1" x14ac:dyDescent="0.25">
      <c r="B4" s="288">
        <v>2</v>
      </c>
      <c r="C4" s="289"/>
      <c r="D4" s="290"/>
      <c r="E4" s="291" t="str">
        <f ca="1">RiskList!A3&amp;": "&amp;RiskList!B3</f>
        <v xml:space="preserve">Company 102: </v>
      </c>
      <c r="F4" s="276" t="str">
        <f ca="1">IF($L4=0%,"",IF(AND($L4&gt;MatrixImpact!$C$8,$L4&lt;=MatrixImpact!$D$8),5,IF(AND($L4&gt;MatrixImpact!$C$7,$L4&lt;=MatrixImpact!$D$7),4,IF(AND($L4&gt;MatrixImpact!$C$6,$L4&lt;=MatrixImpact!$D$6),3,IF(AND($L4&gt;MatrixImpact!$C$5,$L4&lt;=MatrixImpact!$D$5),2,IF(AND($L4&gt;MatrixImpact!$C$4,$L4&lt;=MatrixImpact!$D$4),1,""))))))</f>
        <v/>
      </c>
      <c r="G4" s="292" t="str">
        <f ca="1">IF($P4&gt;MatrixImpact!$C$14,5,IF(AND($P4&gt;MatrixImpact!$C$13,$P4&lt;=MatrixImpact!$D$13),4,IF(AND($P4&gt;MatrixImpact!$C$12,$P4&lt;=MatrixImpact!$D$12),3,IF(AND($P4&gt;MatrixImpact!$C$11,$P4&lt;=MatrixImpact!$D$11),2,IF(AND($P4&gt;MatrixImpact!$C$10,$P4&lt;=MatrixImpact!$D$10),1,"")))))</f>
        <v/>
      </c>
      <c r="H4" s="293">
        <f t="shared" ca="1" si="0"/>
        <v>0</v>
      </c>
      <c r="J4" s="279">
        <f t="shared" si="1"/>
        <v>2</v>
      </c>
      <c r="K4" s="280" t="str">
        <f ca="1">IF(F4=MatrixImpact!$B$4,MatrixImpact!$C$4,IF(F4=MatrixImpact!$B$5,MatrixImpact!$C$5,IF(F4=MatrixImpact!$B$6,MatrixImpact!$C$6,IF(F4=MatrixImpact!$B$7,MatrixImpact!$C$7,IF(F4=MatrixImpact!$B$8,MatrixImpact!$C$8,"")))))</f>
        <v/>
      </c>
      <c r="L4" s="281">
        <f t="shared" ca="1" si="2"/>
        <v>0</v>
      </c>
      <c r="M4" s="280" t="str">
        <f ca="1">IF(F4=MatrixImpact!$B$4,MatrixImpact!$D$4,IF(F4=MatrixImpact!$B$5,MatrixImpact!$D$5,IF(F4=MatrixImpact!$B$6,MatrixImpact!$D$6,IF(F4=MatrixImpact!$B$7,MatrixImpact!$D$7,IF(F4=MatrixImpact!$B$8,MatrixImpact!$D$8,"")))))</f>
        <v/>
      </c>
      <c r="N4" s="282"/>
      <c r="O4" s="283" t="str">
        <f ca="1">IF(G4=MatrixImpact!$B$10,MatrixImpact!$C$10,IF(G4=MatrixImpact!$B$11,MatrixImpact!$C$11,IF(G4=MatrixImpact!$B$12,MatrixImpact!$C$12,IF(G4=MatrixImpact!$B$13,MatrixImpact!$C$13,IF(G4=MatrixImpact!$B$14,MatrixImpact!$C$14,"")))))</f>
        <v/>
      </c>
      <c r="P4" s="284">
        <f t="shared" ca="1" si="3"/>
        <v>0</v>
      </c>
      <c r="Q4" s="283" t="str">
        <f ca="1">IF(IF(G4=MatrixImpact!$B$10,MatrixImpact!$D$10,IF(G4=MatrixImpact!$B$11,MatrixImpact!$D$11,IF(G4=MatrixImpact!$B$12,MatrixImpact!$D$12,IF(G4=MatrixImpact!$B$13,MatrixImpact!$D$13,IF(G4=MatrixImpact!$B$14,MatrixImpact!$D$14,"")))))&lt;P4,P4,IF(G4=MatrixImpact!$B$10,MatrixImpact!$D$10,IF(G4=MatrixImpact!$B$11,MatrixImpact!$D$11,IF(G4=MatrixImpact!$B$12,MatrixImpact!$D$12,IF(G4=MatrixImpact!$B$13,MatrixImpact!$D$13,IF(G4=MatrixImpact!$B$14,MatrixImpact!$D$14,""))))))</f>
        <v/>
      </c>
      <c r="R4" s="285"/>
      <c r="S4" s="283">
        <f t="shared" si="4"/>
        <v>0</v>
      </c>
      <c r="U4" s="286">
        <v>2</v>
      </c>
      <c r="V4" s="286">
        <v>1</v>
      </c>
      <c r="W4" s="287">
        <f>INDEX(MatrixImpact!C$4:C$8,MATCH($U4,MatrixImpact!$B$4:$B$8,0),1)*INDEX(MatrixImpact!C$10:C$14,MATCH($V4,MatrixImpact!$B$10:$B$14,0),1)</f>
        <v>0</v>
      </c>
      <c r="X4" s="287">
        <f>INDEX(MatrixImpact!D$4:D$8,MATCH($U4,MatrixImpact!$B$4:$B$8,0),1)*INDEX(MatrixImpact!D$10:D$14,MATCH($V4,MatrixImpact!$B$10:$B$14,0),1)</f>
        <v>0.6</v>
      </c>
      <c r="Y4" s="34" t="b">
        <f t="shared" si="5"/>
        <v>1</v>
      </c>
      <c r="AA4" s="284"/>
      <c r="AB4" s="280">
        <f t="shared" ref="AB4:AB22" si="6">AB3-5%</f>
        <v>0.95</v>
      </c>
      <c r="AC4" s="283">
        <f t="shared" ref="AC4:AC22" si="7">AC3</f>
        <v>0</v>
      </c>
      <c r="AD4" s="284"/>
      <c r="AE4" s="284"/>
      <c r="AG4" s="21" t="s">
        <v>733</v>
      </c>
      <c r="AH4" s="21" t="s">
        <v>734</v>
      </c>
    </row>
    <row r="5" spans="2:34" ht="15" customHeight="1" x14ac:dyDescent="0.25">
      <c r="B5" s="288">
        <v>3</v>
      </c>
      <c r="C5" s="289"/>
      <c r="D5" s="290"/>
      <c r="E5" s="291" t="str">
        <f ca="1">RiskList!A4&amp;": "&amp;RiskList!B4</f>
        <v xml:space="preserve">Company 103: </v>
      </c>
      <c r="F5" s="276" t="str">
        <f ca="1">IF($L5=0%,"",IF(AND($L5&gt;MatrixImpact!$C$8,$L5&lt;=MatrixImpact!$D$8),5,IF(AND($L5&gt;MatrixImpact!$C$7,$L5&lt;=MatrixImpact!$D$7),4,IF(AND($L5&gt;MatrixImpact!$C$6,$L5&lt;=MatrixImpact!$D$6),3,IF(AND($L5&gt;MatrixImpact!$C$5,$L5&lt;=MatrixImpact!$D$5),2,IF(AND($L5&gt;MatrixImpact!$C$4,$L5&lt;=MatrixImpact!$D$4),1,""))))))</f>
        <v/>
      </c>
      <c r="G5" s="292" t="str">
        <f ca="1">IF($P5&gt;MatrixImpact!$C$14,5,IF(AND($P5&gt;MatrixImpact!$C$13,$P5&lt;=MatrixImpact!$D$13),4,IF(AND($P5&gt;MatrixImpact!$C$12,$P5&lt;=MatrixImpact!$D$12),3,IF(AND($P5&gt;MatrixImpact!$C$11,$P5&lt;=MatrixImpact!$D$11),2,IF(AND($P5&gt;MatrixImpact!$C$10,$P5&lt;=MatrixImpact!$D$10),1,"")))))</f>
        <v/>
      </c>
      <c r="H5" s="293">
        <f t="shared" ca="1" si="0"/>
        <v>0</v>
      </c>
      <c r="J5" s="279">
        <f t="shared" si="1"/>
        <v>3</v>
      </c>
      <c r="K5" s="280" t="str">
        <f ca="1">IF(F5=MatrixImpact!$B$4,MatrixImpact!$C$4,IF(F5=MatrixImpact!$B$5,MatrixImpact!$C$5,IF(F5=MatrixImpact!$B$6,MatrixImpact!$C$6,IF(F5=MatrixImpact!$B$7,MatrixImpact!$C$7,IF(F5=MatrixImpact!$B$8,MatrixImpact!$C$8,"")))))</f>
        <v/>
      </c>
      <c r="L5" s="281">
        <f t="shared" ca="1" si="2"/>
        <v>0</v>
      </c>
      <c r="M5" s="280" t="str">
        <f ca="1">IF(F5=MatrixImpact!$B$4,MatrixImpact!$D$4,IF(F5=MatrixImpact!$B$5,MatrixImpact!$D$5,IF(F5=MatrixImpact!$B$6,MatrixImpact!$D$6,IF(F5=MatrixImpact!$B$7,MatrixImpact!$D$7,IF(F5=MatrixImpact!$B$8,MatrixImpact!$D$8,"")))))</f>
        <v/>
      </c>
      <c r="N5" s="282"/>
      <c r="O5" s="283" t="str">
        <f ca="1">IF(G5=MatrixImpact!$B$10,MatrixImpact!$C$10,IF(G5=MatrixImpact!$B$11,MatrixImpact!$C$11,IF(G5=MatrixImpact!$B$12,MatrixImpact!$C$12,IF(G5=MatrixImpact!$B$13,MatrixImpact!$C$13,IF(G5=MatrixImpact!$B$14,MatrixImpact!$C$14,"")))))</f>
        <v/>
      </c>
      <c r="P5" s="284">
        <f t="shared" ca="1" si="3"/>
        <v>0</v>
      </c>
      <c r="Q5" s="283" t="str">
        <f ca="1">IF(IF(G5=MatrixImpact!$B$10,MatrixImpact!$D$10,IF(G5=MatrixImpact!$B$11,MatrixImpact!$D$11,IF(G5=MatrixImpact!$B$12,MatrixImpact!$D$12,IF(G5=MatrixImpact!$B$13,MatrixImpact!$D$13,IF(G5=MatrixImpact!$B$14,MatrixImpact!$D$14,"")))))&lt;P5,P5,IF(G5=MatrixImpact!$B$10,MatrixImpact!$D$10,IF(G5=MatrixImpact!$B$11,MatrixImpact!$D$11,IF(G5=MatrixImpact!$B$12,MatrixImpact!$D$12,IF(G5=MatrixImpact!$B$13,MatrixImpact!$D$13,IF(G5=MatrixImpact!$B$14,MatrixImpact!$D$14,""))))))</f>
        <v/>
      </c>
      <c r="R5" s="285"/>
      <c r="S5" s="283">
        <f t="shared" si="4"/>
        <v>0</v>
      </c>
      <c r="U5" s="286">
        <v>3</v>
      </c>
      <c r="V5" s="286">
        <v>1</v>
      </c>
      <c r="W5" s="287">
        <f>INDEX(MatrixImpact!C$4:C$8,MATCH($U5,MatrixImpact!$B$4:$B$8,0),1)*INDEX(MatrixImpact!C$10:C$14,MATCH($V5,MatrixImpact!$B$10:$B$14,0),1)</f>
        <v>0</v>
      </c>
      <c r="X5" s="287">
        <f>INDEX(MatrixImpact!D$4:D$8,MATCH($U5,MatrixImpact!$B$4:$B$8,0),1)*INDEX(MatrixImpact!D$10:D$14,MATCH($V5,MatrixImpact!$B$10:$B$14,0),1)</f>
        <v>1</v>
      </c>
      <c r="Y5" s="34" t="b">
        <f t="shared" si="5"/>
        <v>1</v>
      </c>
      <c r="AA5" s="284"/>
      <c r="AB5" s="280">
        <f t="shared" si="6"/>
        <v>0.89999999999999991</v>
      </c>
      <c r="AC5" s="283">
        <f t="shared" si="7"/>
        <v>0</v>
      </c>
      <c r="AD5" s="283"/>
      <c r="AE5" s="283"/>
      <c r="AG5" s="21" t="s">
        <v>735</v>
      </c>
      <c r="AH5" s="21" t="s">
        <v>736</v>
      </c>
    </row>
    <row r="6" spans="2:34" ht="15" customHeight="1" x14ac:dyDescent="0.25">
      <c r="B6" s="288">
        <v>4</v>
      </c>
      <c r="C6" s="289"/>
      <c r="D6" s="290"/>
      <c r="E6" s="291" t="str">
        <f ca="1">RiskList!A5&amp;": "&amp;RiskList!B5</f>
        <v xml:space="preserve">Company 104: </v>
      </c>
      <c r="F6" s="276" t="str">
        <f ca="1">IF($L6=0%,"",IF(AND($L6&gt;MatrixImpact!$C$8,$L6&lt;=MatrixImpact!$D$8),5,IF(AND($L6&gt;MatrixImpact!$C$7,$L6&lt;=MatrixImpact!$D$7),4,IF(AND($L6&gt;MatrixImpact!$C$6,$L6&lt;=MatrixImpact!$D$6),3,IF(AND($L6&gt;MatrixImpact!$C$5,$L6&lt;=MatrixImpact!$D$5),2,IF(AND($L6&gt;MatrixImpact!$C$4,$L6&lt;=MatrixImpact!$D$4),1,""))))))</f>
        <v/>
      </c>
      <c r="G6" s="292" t="str">
        <f ca="1">IF($P6&gt;MatrixImpact!$C$14,5,IF(AND($P6&gt;MatrixImpact!$C$13,$P6&lt;=MatrixImpact!$D$13),4,IF(AND($P6&gt;MatrixImpact!$C$12,$P6&lt;=MatrixImpact!$D$12),3,IF(AND($P6&gt;MatrixImpact!$C$11,$P6&lt;=MatrixImpact!$D$11),2,IF(AND($P6&gt;MatrixImpact!$C$10,$P6&lt;=MatrixImpact!$D$10),1,"")))))</f>
        <v/>
      </c>
      <c r="H6" s="293">
        <f t="shared" ca="1" si="0"/>
        <v>0</v>
      </c>
      <c r="J6" s="279">
        <f t="shared" si="1"/>
        <v>4</v>
      </c>
      <c r="K6" s="280" t="str">
        <f ca="1">IF(F6=MatrixImpact!$B$4,MatrixImpact!$C$4,IF(F6=MatrixImpact!$B$5,MatrixImpact!$C$5,IF(F6=MatrixImpact!$B$6,MatrixImpact!$C$6,IF(F6=MatrixImpact!$B$7,MatrixImpact!$C$7,IF(F6=MatrixImpact!$B$8,MatrixImpact!$C$8,"")))))</f>
        <v/>
      </c>
      <c r="L6" s="281">
        <f t="shared" ca="1" si="2"/>
        <v>0</v>
      </c>
      <c r="M6" s="280" t="str">
        <f ca="1">IF(F6=MatrixImpact!$B$4,MatrixImpact!$D$4,IF(F6=MatrixImpact!$B$5,MatrixImpact!$D$5,IF(F6=MatrixImpact!$B$6,MatrixImpact!$D$6,IF(F6=MatrixImpact!$B$7,MatrixImpact!$D$7,IF(F6=MatrixImpact!$B$8,MatrixImpact!$D$8,"")))))</f>
        <v/>
      </c>
      <c r="N6" s="282"/>
      <c r="O6" s="283" t="str">
        <f ca="1">IF(G6=MatrixImpact!$B$10,MatrixImpact!$C$10,IF(G6=MatrixImpact!$B$11,MatrixImpact!$C$11,IF(G6=MatrixImpact!$B$12,MatrixImpact!$C$12,IF(G6=MatrixImpact!$B$13,MatrixImpact!$C$13,IF(G6=MatrixImpact!$B$14,MatrixImpact!$C$14,"")))))</f>
        <v/>
      </c>
      <c r="P6" s="284">
        <f t="shared" ca="1" si="3"/>
        <v>0</v>
      </c>
      <c r="Q6" s="283" t="str">
        <f ca="1">IF(IF(G6=MatrixImpact!$B$10,MatrixImpact!$D$10,IF(G6=MatrixImpact!$B$11,MatrixImpact!$D$11,IF(G6=MatrixImpact!$B$12,MatrixImpact!$D$12,IF(G6=MatrixImpact!$B$13,MatrixImpact!$D$13,IF(G6=MatrixImpact!$B$14,MatrixImpact!$D$14,"")))))&lt;P6,P6,IF(G6=MatrixImpact!$B$10,MatrixImpact!$D$10,IF(G6=MatrixImpact!$B$11,MatrixImpact!$D$11,IF(G6=MatrixImpact!$B$12,MatrixImpact!$D$12,IF(G6=MatrixImpact!$B$13,MatrixImpact!$D$13,IF(G6=MatrixImpact!$B$14,MatrixImpact!$D$14,""))))))</f>
        <v/>
      </c>
      <c r="R6" s="285"/>
      <c r="S6" s="283">
        <f t="shared" si="4"/>
        <v>0</v>
      </c>
      <c r="U6" s="286">
        <v>4</v>
      </c>
      <c r="V6" s="286">
        <v>1</v>
      </c>
      <c r="W6" s="287">
        <f>INDEX(MatrixImpact!C$4:C$8,MATCH($U6,MatrixImpact!$B$4:$B$8,0),1)*INDEX(MatrixImpact!C$10:C$14,MATCH($V6,MatrixImpact!$B$10:$B$14,0),1)</f>
        <v>0</v>
      </c>
      <c r="X6" s="287">
        <f>INDEX(MatrixImpact!D$4:D$8,MATCH($U6,MatrixImpact!$B$4:$B$8,0),1)*INDEX(MatrixImpact!D$10:D$14,MATCH($V6,MatrixImpact!$B$10:$B$14,0),1)</f>
        <v>1.8</v>
      </c>
      <c r="Y6" s="34" t="b">
        <f t="shared" si="5"/>
        <v>1</v>
      </c>
      <c r="AA6" s="284"/>
      <c r="AB6" s="280">
        <f t="shared" si="6"/>
        <v>0.84999999999999987</v>
      </c>
      <c r="AC6" s="283">
        <f t="shared" si="7"/>
        <v>0</v>
      </c>
      <c r="AD6" s="283"/>
      <c r="AE6" s="283"/>
      <c r="AG6" s="21" t="s">
        <v>737</v>
      </c>
      <c r="AH6" s="21" t="s">
        <v>738</v>
      </c>
    </row>
    <row r="7" spans="2:34" ht="15" customHeight="1" x14ac:dyDescent="0.25">
      <c r="B7" s="288">
        <v>5</v>
      </c>
      <c r="C7" s="289"/>
      <c r="D7" s="290"/>
      <c r="E7" s="291" t="str">
        <f ca="1">RiskList!A6&amp;": "&amp;RiskList!B6</f>
        <v xml:space="preserve">Company 105: </v>
      </c>
      <c r="F7" s="276" t="str">
        <f ca="1">IF($L7=0%,"",IF(AND($L7&gt;MatrixImpact!$C$8,$L7&lt;=MatrixImpact!$D$8),5,IF(AND($L7&gt;MatrixImpact!$C$7,$L7&lt;=MatrixImpact!$D$7),4,IF(AND($L7&gt;MatrixImpact!$C$6,$L7&lt;=MatrixImpact!$D$6),3,IF(AND($L7&gt;MatrixImpact!$C$5,$L7&lt;=MatrixImpact!$D$5),2,IF(AND($L7&gt;MatrixImpact!$C$4,$L7&lt;=MatrixImpact!$D$4),1,""))))))</f>
        <v/>
      </c>
      <c r="G7" s="292" t="str">
        <f ca="1">IF($P7&gt;MatrixImpact!$C$14,5,IF(AND($P7&gt;MatrixImpact!$C$13,$P7&lt;=MatrixImpact!$D$13),4,IF(AND($P7&gt;MatrixImpact!$C$12,$P7&lt;=MatrixImpact!$D$12),3,IF(AND($P7&gt;MatrixImpact!$C$11,$P7&lt;=MatrixImpact!$D$11),2,IF(AND($P7&gt;MatrixImpact!$C$10,$P7&lt;=MatrixImpact!$D$10),1,"")))))</f>
        <v/>
      </c>
      <c r="H7" s="293">
        <f t="shared" ca="1" si="0"/>
        <v>0</v>
      </c>
      <c r="J7" s="279">
        <f t="shared" si="1"/>
        <v>5</v>
      </c>
      <c r="K7" s="280" t="str">
        <f ca="1">IF(F7=MatrixImpact!$B$4,MatrixImpact!$C$4,IF(F7=MatrixImpact!$B$5,MatrixImpact!$C$5,IF(F7=MatrixImpact!$B$6,MatrixImpact!$C$6,IF(F7=MatrixImpact!$B$7,MatrixImpact!$C$7,IF(F7=MatrixImpact!$B$8,MatrixImpact!$C$8,"")))))</f>
        <v/>
      </c>
      <c r="L7" s="281">
        <f t="shared" ca="1" si="2"/>
        <v>0</v>
      </c>
      <c r="M7" s="280" t="str">
        <f ca="1">IF(F7=MatrixImpact!$B$4,MatrixImpact!$D$4,IF(F7=MatrixImpact!$B$5,MatrixImpact!$D$5,IF(F7=MatrixImpact!$B$6,MatrixImpact!$D$6,IF(F7=MatrixImpact!$B$7,MatrixImpact!$D$7,IF(F7=MatrixImpact!$B$8,MatrixImpact!$D$8,"")))))</f>
        <v/>
      </c>
      <c r="N7" s="282"/>
      <c r="O7" s="283" t="str">
        <f ca="1">IF(G7=MatrixImpact!$B$10,MatrixImpact!$C$10,IF(G7=MatrixImpact!$B$11,MatrixImpact!$C$11,IF(G7=MatrixImpact!$B$12,MatrixImpact!$C$12,IF(G7=MatrixImpact!$B$13,MatrixImpact!$C$13,IF(G7=MatrixImpact!$B$14,MatrixImpact!$C$14,"")))))</f>
        <v/>
      </c>
      <c r="P7" s="284">
        <f t="shared" ca="1" si="3"/>
        <v>0</v>
      </c>
      <c r="Q7" s="283" t="str">
        <f ca="1">IF(IF(G7=MatrixImpact!$B$10,MatrixImpact!$D$10,IF(G7=MatrixImpact!$B$11,MatrixImpact!$D$11,IF(G7=MatrixImpact!$B$12,MatrixImpact!$D$12,IF(G7=MatrixImpact!$B$13,MatrixImpact!$D$13,IF(G7=MatrixImpact!$B$14,MatrixImpact!$D$14,"")))))&lt;P7,P7,IF(G7=MatrixImpact!$B$10,MatrixImpact!$D$10,IF(G7=MatrixImpact!$B$11,MatrixImpact!$D$11,IF(G7=MatrixImpact!$B$12,MatrixImpact!$D$12,IF(G7=MatrixImpact!$B$13,MatrixImpact!$D$13,IF(G7=MatrixImpact!$B$14,MatrixImpact!$D$14,""))))))</f>
        <v/>
      </c>
      <c r="R7" s="285"/>
      <c r="S7" s="283">
        <f t="shared" si="4"/>
        <v>0</v>
      </c>
      <c r="U7" s="286">
        <v>5</v>
      </c>
      <c r="V7" s="286">
        <v>1</v>
      </c>
      <c r="W7" s="287">
        <f>INDEX(MatrixImpact!C$4:C$8,MATCH($U7,MatrixImpact!$B$4:$B$8,0),1)*INDEX(MatrixImpact!C$10:C$14,MATCH($V7,MatrixImpact!$B$10:$B$14,0),1)</f>
        <v>0</v>
      </c>
      <c r="X7" s="287">
        <f>INDEX(MatrixImpact!D$4:D$8,MATCH($U7,MatrixImpact!$B$4:$B$8,0),1)*INDEX(MatrixImpact!D$10:D$14,MATCH($V7,MatrixImpact!$B$10:$B$14,0),1)</f>
        <v>2</v>
      </c>
      <c r="Y7" s="34" t="b">
        <f t="shared" si="5"/>
        <v>1</v>
      </c>
      <c r="AA7" s="284"/>
      <c r="AB7" s="280">
        <f t="shared" si="6"/>
        <v>0.79999999999999982</v>
      </c>
      <c r="AC7" s="283">
        <f t="shared" si="7"/>
        <v>0</v>
      </c>
      <c r="AD7" s="283"/>
      <c r="AE7" s="283"/>
      <c r="AG7" s="21" t="s">
        <v>739</v>
      </c>
      <c r="AH7" s="21" t="s">
        <v>740</v>
      </c>
    </row>
    <row r="8" spans="2:34" ht="15" customHeight="1" x14ac:dyDescent="0.25">
      <c r="B8" s="288">
        <v>6</v>
      </c>
      <c r="C8" s="289"/>
      <c r="D8" s="290"/>
      <c r="E8" s="291" t="str">
        <f ca="1">RiskList!A7&amp;": "&amp;RiskList!B7</f>
        <v xml:space="preserve">Company 106: </v>
      </c>
      <c r="F8" s="276" t="str">
        <f ca="1">IF($L8=0%,"",IF(AND($L8&gt;MatrixImpact!$C$8,$L8&lt;=MatrixImpact!$D$8),5,IF(AND($L8&gt;MatrixImpact!$C$7,$L8&lt;=MatrixImpact!$D$7),4,IF(AND($L8&gt;MatrixImpact!$C$6,$L8&lt;=MatrixImpact!$D$6),3,IF(AND($L8&gt;MatrixImpact!$C$5,$L8&lt;=MatrixImpact!$D$5),2,IF(AND($L8&gt;MatrixImpact!$C$4,$L8&lt;=MatrixImpact!$D$4),1,""))))))</f>
        <v/>
      </c>
      <c r="G8" s="292" t="str">
        <f ca="1">IF($P8&gt;MatrixImpact!$C$14,5,IF(AND($P8&gt;MatrixImpact!$C$13,$P8&lt;=MatrixImpact!$D$13),4,IF(AND($P8&gt;MatrixImpact!$C$12,$P8&lt;=MatrixImpact!$D$12),3,IF(AND($P8&gt;MatrixImpact!$C$11,$P8&lt;=MatrixImpact!$D$11),2,IF(AND($P8&gt;MatrixImpact!$C$10,$P8&lt;=MatrixImpact!$D$10),1,"")))))</f>
        <v/>
      </c>
      <c r="H8" s="293">
        <f t="shared" ca="1" si="0"/>
        <v>0</v>
      </c>
      <c r="J8" s="279">
        <f t="shared" si="1"/>
        <v>6</v>
      </c>
      <c r="K8" s="280" t="str">
        <f ca="1">IF(F8=MatrixImpact!$B$4,MatrixImpact!$C$4,IF(F8=MatrixImpact!$B$5,MatrixImpact!$C$5,IF(F8=MatrixImpact!$B$6,MatrixImpact!$C$6,IF(F8=MatrixImpact!$B$7,MatrixImpact!$C$7,IF(F8=MatrixImpact!$B$8,MatrixImpact!$C$8,"")))))</f>
        <v/>
      </c>
      <c r="L8" s="281">
        <f t="shared" ca="1" si="2"/>
        <v>0</v>
      </c>
      <c r="M8" s="280" t="str">
        <f ca="1">IF(F8=MatrixImpact!$B$4,MatrixImpact!$D$4,IF(F8=MatrixImpact!$B$5,MatrixImpact!$D$5,IF(F8=MatrixImpact!$B$6,MatrixImpact!$D$6,IF(F8=MatrixImpact!$B$7,MatrixImpact!$D$7,IF(F8=MatrixImpact!$B$8,MatrixImpact!$D$8,"")))))</f>
        <v/>
      </c>
      <c r="N8" s="282"/>
      <c r="O8" s="283" t="str">
        <f ca="1">IF(G8=MatrixImpact!$B$10,MatrixImpact!$C$10,IF(G8=MatrixImpact!$B$11,MatrixImpact!$C$11,IF(G8=MatrixImpact!$B$12,MatrixImpact!$C$12,IF(G8=MatrixImpact!$B$13,MatrixImpact!$C$13,IF(G8=MatrixImpact!$B$14,MatrixImpact!$C$14,"")))))</f>
        <v/>
      </c>
      <c r="P8" s="284">
        <f t="shared" ca="1" si="3"/>
        <v>0</v>
      </c>
      <c r="Q8" s="283" t="str">
        <f ca="1">IF(IF(G8=MatrixImpact!$B$10,MatrixImpact!$D$10,IF(G8=MatrixImpact!$B$11,MatrixImpact!$D$11,IF(G8=MatrixImpact!$B$12,MatrixImpact!$D$12,IF(G8=MatrixImpact!$B$13,MatrixImpact!$D$13,IF(G8=MatrixImpact!$B$14,MatrixImpact!$D$14,"")))))&lt;P8,P8,IF(G8=MatrixImpact!$B$10,MatrixImpact!$D$10,IF(G8=MatrixImpact!$B$11,MatrixImpact!$D$11,IF(G8=MatrixImpact!$B$12,MatrixImpact!$D$12,IF(G8=MatrixImpact!$B$13,MatrixImpact!$D$13,IF(G8=MatrixImpact!$B$14,MatrixImpact!$D$14,""))))))</f>
        <v/>
      </c>
      <c r="R8" s="285"/>
      <c r="S8" s="283">
        <f t="shared" si="4"/>
        <v>0</v>
      </c>
      <c r="U8" s="286">
        <v>1</v>
      </c>
      <c r="V8" s="286">
        <v>2</v>
      </c>
      <c r="W8" s="287">
        <f>INDEX(MatrixImpact!C$4:C$8,MATCH($U8,MatrixImpact!$B$4:$B$8,0),1)*INDEX(MatrixImpact!C$10:C$14,MATCH($V8,MatrixImpact!$B$10:$B$14,0),1)</f>
        <v>0</v>
      </c>
      <c r="X8" s="287">
        <f>INDEX(MatrixImpact!D$4:D$8,MATCH($U8,MatrixImpact!$B$4:$B$8,0),1)*INDEX(MatrixImpact!D$10:D$14,MATCH($V8,MatrixImpact!$B$10:$B$14,0),1)</f>
        <v>0.5</v>
      </c>
      <c r="Y8" s="34" t="b">
        <f t="shared" si="5"/>
        <v>1</v>
      </c>
      <c r="AA8" s="284"/>
      <c r="AB8" s="280">
        <f t="shared" si="6"/>
        <v>0.74999999999999978</v>
      </c>
      <c r="AC8" s="283">
        <f t="shared" si="7"/>
        <v>0</v>
      </c>
      <c r="AD8" s="283"/>
      <c r="AE8" s="283"/>
      <c r="AG8" s="21" t="s">
        <v>741</v>
      </c>
      <c r="AH8" s="21" t="s">
        <v>742</v>
      </c>
    </row>
    <row r="9" spans="2:34" ht="15" customHeight="1" x14ac:dyDescent="0.25">
      <c r="B9" s="288">
        <v>7</v>
      </c>
      <c r="C9" s="289"/>
      <c r="D9" s="290"/>
      <c r="E9" s="291" t="str">
        <f ca="1">RiskList!A8&amp;": "&amp;RiskList!B8</f>
        <v xml:space="preserve">Company 107: </v>
      </c>
      <c r="F9" s="276" t="str">
        <f ca="1">IF($L9=0%,"",IF(AND($L9&gt;MatrixImpact!$C$8,$L9&lt;=MatrixImpact!$D$8),5,IF(AND($L9&gt;MatrixImpact!$C$7,$L9&lt;=MatrixImpact!$D$7),4,IF(AND($L9&gt;MatrixImpact!$C$6,$L9&lt;=MatrixImpact!$D$6),3,IF(AND($L9&gt;MatrixImpact!$C$5,$L9&lt;=MatrixImpact!$D$5),2,IF(AND($L9&gt;MatrixImpact!$C$4,$L9&lt;=MatrixImpact!$D$4),1,""))))))</f>
        <v/>
      </c>
      <c r="G9" s="292" t="str">
        <f ca="1">IF($P9&gt;MatrixImpact!$C$14,5,IF(AND($P9&gt;MatrixImpact!$C$13,$P9&lt;=MatrixImpact!$D$13),4,IF(AND($P9&gt;MatrixImpact!$C$12,$P9&lt;=MatrixImpact!$D$12),3,IF(AND($P9&gt;MatrixImpact!$C$11,$P9&lt;=MatrixImpact!$D$11),2,IF(AND($P9&gt;MatrixImpact!$C$10,$P9&lt;=MatrixImpact!$D$10),1,"")))))</f>
        <v/>
      </c>
      <c r="H9" s="293">
        <f t="shared" ca="1" si="0"/>
        <v>0</v>
      </c>
      <c r="J9" s="279">
        <f t="shared" si="1"/>
        <v>7</v>
      </c>
      <c r="K9" s="280" t="str">
        <f ca="1">IF(F9=MatrixImpact!$B$4,MatrixImpact!$C$4,IF(F9=MatrixImpact!$B$5,MatrixImpact!$C$5,IF(F9=MatrixImpact!$B$6,MatrixImpact!$C$6,IF(F9=MatrixImpact!$B$7,MatrixImpact!$C$7,IF(F9=MatrixImpact!$B$8,MatrixImpact!$C$8,"")))))</f>
        <v/>
      </c>
      <c r="L9" s="281">
        <f t="shared" ca="1" si="2"/>
        <v>0</v>
      </c>
      <c r="M9" s="280" t="str">
        <f ca="1">IF(F9=MatrixImpact!$B$4,MatrixImpact!$D$4,IF(F9=MatrixImpact!$B$5,MatrixImpact!$D$5,IF(F9=MatrixImpact!$B$6,MatrixImpact!$D$6,IF(F9=MatrixImpact!$B$7,MatrixImpact!$D$7,IF(F9=MatrixImpact!$B$8,MatrixImpact!$D$8,"")))))</f>
        <v/>
      </c>
      <c r="N9" s="282"/>
      <c r="O9" s="283" t="str">
        <f ca="1">IF(G9=MatrixImpact!$B$10,MatrixImpact!$C$10,IF(G9=MatrixImpact!$B$11,MatrixImpact!$C$11,IF(G9=MatrixImpact!$B$12,MatrixImpact!$C$12,IF(G9=MatrixImpact!$B$13,MatrixImpact!$C$13,IF(G9=MatrixImpact!$B$14,MatrixImpact!$C$14,"")))))</f>
        <v/>
      </c>
      <c r="P9" s="284">
        <f t="shared" ca="1" si="3"/>
        <v>0</v>
      </c>
      <c r="Q9" s="283" t="str">
        <f ca="1">IF(IF(G9=MatrixImpact!$B$10,MatrixImpact!$D$10,IF(G9=MatrixImpact!$B$11,MatrixImpact!$D$11,IF(G9=MatrixImpact!$B$12,MatrixImpact!$D$12,IF(G9=MatrixImpact!$B$13,MatrixImpact!$D$13,IF(G9=MatrixImpact!$B$14,MatrixImpact!$D$14,"")))))&lt;P9,P9,IF(G9=MatrixImpact!$B$10,MatrixImpact!$D$10,IF(G9=MatrixImpact!$B$11,MatrixImpact!$D$11,IF(G9=MatrixImpact!$B$12,MatrixImpact!$D$12,IF(G9=MatrixImpact!$B$13,MatrixImpact!$D$13,IF(G9=MatrixImpact!$B$14,MatrixImpact!$D$14,""))))))</f>
        <v/>
      </c>
      <c r="R9" s="285"/>
      <c r="S9" s="283">
        <f t="shared" si="4"/>
        <v>0</v>
      </c>
      <c r="U9" s="286">
        <v>2</v>
      </c>
      <c r="V9" s="286">
        <v>2</v>
      </c>
      <c r="W9" s="287">
        <f>INDEX(MatrixImpact!C$4:C$8,MATCH($U9,MatrixImpact!$B$4:$B$8,0),1)*INDEX(MatrixImpact!C$10:C$14,MATCH($V9,MatrixImpact!$B$10:$B$14,0),1)</f>
        <v>0.2</v>
      </c>
      <c r="X9" s="287">
        <f>INDEX(MatrixImpact!D$4:D$8,MATCH($U9,MatrixImpact!$B$4:$B$8,0),1)*INDEX(MatrixImpact!D$10:D$14,MATCH($V9,MatrixImpact!$B$10:$B$14,0),1)</f>
        <v>1.5</v>
      </c>
      <c r="Y9" s="34" t="b">
        <f t="shared" si="5"/>
        <v>0</v>
      </c>
      <c r="AA9" s="284"/>
      <c r="AB9" s="280">
        <f t="shared" si="6"/>
        <v>0.69999999999999973</v>
      </c>
      <c r="AC9" s="283">
        <f t="shared" si="7"/>
        <v>0</v>
      </c>
      <c r="AD9" s="283"/>
      <c r="AE9" s="283"/>
      <c r="AG9" s="21" t="s">
        <v>743</v>
      </c>
      <c r="AH9" s="21" t="s">
        <v>744</v>
      </c>
    </row>
    <row r="10" spans="2:34" ht="15" customHeight="1" x14ac:dyDescent="0.25">
      <c r="B10" s="288">
        <v>8</v>
      </c>
      <c r="C10" s="289"/>
      <c r="D10" s="290"/>
      <c r="E10" s="291" t="str">
        <f ca="1">RiskList!A9&amp;": "&amp;RiskList!B9</f>
        <v xml:space="preserve">Company 108: </v>
      </c>
      <c r="F10" s="276" t="str">
        <f ca="1">IF($L10=0%,"",IF(AND($L10&gt;MatrixImpact!$C$8,$L10&lt;=MatrixImpact!$D$8),5,IF(AND($L10&gt;MatrixImpact!$C$7,$L10&lt;=MatrixImpact!$D$7),4,IF(AND($L10&gt;MatrixImpact!$C$6,$L10&lt;=MatrixImpact!$D$6),3,IF(AND($L10&gt;MatrixImpact!$C$5,$L10&lt;=MatrixImpact!$D$5),2,IF(AND($L10&gt;MatrixImpact!$C$4,$L10&lt;=MatrixImpact!$D$4),1,""))))))</f>
        <v/>
      </c>
      <c r="G10" s="292" t="str">
        <f ca="1">IF($P10&gt;MatrixImpact!$C$14,5,IF(AND($P10&gt;MatrixImpact!$C$13,$P10&lt;=MatrixImpact!$D$13),4,IF(AND($P10&gt;MatrixImpact!$C$12,$P10&lt;=MatrixImpact!$D$12),3,IF(AND($P10&gt;MatrixImpact!$C$11,$P10&lt;=MatrixImpact!$D$11),2,IF(AND($P10&gt;MatrixImpact!$C$10,$P10&lt;=MatrixImpact!$D$10),1,"")))))</f>
        <v/>
      </c>
      <c r="H10" s="293">
        <f t="shared" ca="1" si="0"/>
        <v>0</v>
      </c>
      <c r="J10" s="279">
        <f t="shared" si="1"/>
        <v>8</v>
      </c>
      <c r="K10" s="280" t="str">
        <f ca="1">IF(F10=MatrixImpact!$B$4,MatrixImpact!$C$4,IF(F10=MatrixImpact!$B$5,MatrixImpact!$C$5,IF(F10=MatrixImpact!$B$6,MatrixImpact!$C$6,IF(F10=MatrixImpact!$B$7,MatrixImpact!$C$7,IF(F10=MatrixImpact!$B$8,MatrixImpact!$C$8,"")))))</f>
        <v/>
      </c>
      <c r="L10" s="281">
        <f t="shared" ca="1" si="2"/>
        <v>0</v>
      </c>
      <c r="M10" s="280" t="str">
        <f ca="1">IF(F10=MatrixImpact!$B$4,MatrixImpact!$D$4,IF(F10=MatrixImpact!$B$5,MatrixImpact!$D$5,IF(F10=MatrixImpact!$B$6,MatrixImpact!$D$6,IF(F10=MatrixImpact!$B$7,MatrixImpact!$D$7,IF(F10=MatrixImpact!$B$8,MatrixImpact!$D$8,"")))))</f>
        <v/>
      </c>
      <c r="N10" s="282"/>
      <c r="O10" s="283" t="str">
        <f ca="1">IF(G10=MatrixImpact!$B$10,MatrixImpact!$C$10,IF(G10=MatrixImpact!$B$11,MatrixImpact!$C$11,IF(G10=MatrixImpact!$B$12,MatrixImpact!$C$12,IF(G10=MatrixImpact!$B$13,MatrixImpact!$C$13,IF(G10=MatrixImpact!$B$14,MatrixImpact!$C$14,"")))))</f>
        <v/>
      </c>
      <c r="P10" s="284">
        <f t="shared" ca="1" si="3"/>
        <v>0</v>
      </c>
      <c r="Q10" s="283" t="str">
        <f ca="1">IF(IF(G10=MatrixImpact!$B$10,MatrixImpact!$D$10,IF(G10=MatrixImpact!$B$11,MatrixImpact!$D$11,IF(G10=MatrixImpact!$B$12,MatrixImpact!$D$12,IF(G10=MatrixImpact!$B$13,MatrixImpact!$D$13,IF(G10=MatrixImpact!$B$14,MatrixImpact!$D$14,"")))))&lt;P10,P10,IF(G10=MatrixImpact!$B$10,MatrixImpact!$D$10,IF(G10=MatrixImpact!$B$11,MatrixImpact!$D$11,IF(G10=MatrixImpact!$B$12,MatrixImpact!$D$12,IF(G10=MatrixImpact!$B$13,MatrixImpact!$D$13,IF(G10=MatrixImpact!$B$14,MatrixImpact!$D$14,""))))))</f>
        <v/>
      </c>
      <c r="R10" s="285"/>
      <c r="S10" s="283">
        <f t="shared" si="4"/>
        <v>0</v>
      </c>
      <c r="U10" s="286">
        <v>3</v>
      </c>
      <c r="V10" s="286">
        <v>2</v>
      </c>
      <c r="W10" s="287">
        <f>INDEX(MatrixImpact!C$4:C$8,MATCH($U10,MatrixImpact!$B$4:$B$8,0),1)*INDEX(MatrixImpact!C$10:C$14,MATCH($V10,MatrixImpact!$B$10:$B$14,0),1)</f>
        <v>0.6</v>
      </c>
      <c r="X10" s="287">
        <f>INDEX(MatrixImpact!D$4:D$8,MATCH($U10,MatrixImpact!$B$4:$B$8,0),1)*INDEX(MatrixImpact!D$10:D$14,MATCH($V10,MatrixImpact!$B$10:$B$14,0),1)</f>
        <v>2.5</v>
      </c>
      <c r="Y10" s="34" t="b">
        <f t="shared" si="5"/>
        <v>0</v>
      </c>
      <c r="AA10" s="284"/>
      <c r="AB10" s="280">
        <f t="shared" si="6"/>
        <v>0.64999999999999969</v>
      </c>
      <c r="AC10" s="283">
        <f t="shared" si="7"/>
        <v>0</v>
      </c>
      <c r="AD10" s="283"/>
      <c r="AE10" s="283"/>
      <c r="AG10" s="21" t="s">
        <v>745</v>
      </c>
      <c r="AH10" s="21" t="s">
        <v>746</v>
      </c>
    </row>
    <row r="11" spans="2:34" ht="15" customHeight="1" x14ac:dyDescent="0.25">
      <c r="B11" s="288">
        <v>9</v>
      </c>
      <c r="C11" s="289"/>
      <c r="D11" s="290"/>
      <c r="E11" s="291" t="str">
        <f ca="1">RiskList!A10&amp;": "&amp;RiskList!B10</f>
        <v xml:space="preserve">Company 109: </v>
      </c>
      <c r="F11" s="276" t="str">
        <f ca="1">IF($L11=0%,"",IF(AND($L11&gt;MatrixImpact!$C$8,$L11&lt;=MatrixImpact!$D$8),5,IF(AND($L11&gt;MatrixImpact!$C$7,$L11&lt;=MatrixImpact!$D$7),4,IF(AND($L11&gt;MatrixImpact!$C$6,$L11&lt;=MatrixImpact!$D$6),3,IF(AND($L11&gt;MatrixImpact!$C$5,$L11&lt;=MatrixImpact!$D$5),2,IF(AND($L11&gt;MatrixImpact!$C$4,$L11&lt;=MatrixImpact!$D$4),1,""))))))</f>
        <v/>
      </c>
      <c r="G11" s="292" t="str">
        <f ca="1">IF($P11&gt;MatrixImpact!$C$14,5,IF(AND($P11&gt;MatrixImpact!$C$13,$P11&lt;=MatrixImpact!$D$13),4,IF(AND($P11&gt;MatrixImpact!$C$12,$P11&lt;=MatrixImpact!$D$12),3,IF(AND($P11&gt;MatrixImpact!$C$11,$P11&lt;=MatrixImpact!$D$11),2,IF(AND($P11&gt;MatrixImpact!$C$10,$P11&lt;=MatrixImpact!$D$10),1,"")))))</f>
        <v/>
      </c>
      <c r="H11" s="293">
        <f t="shared" ca="1" si="0"/>
        <v>0</v>
      </c>
      <c r="J11" s="279">
        <f t="shared" si="1"/>
        <v>9</v>
      </c>
      <c r="K11" s="280" t="str">
        <f ca="1">IF(F11=MatrixImpact!$B$4,MatrixImpact!$C$4,IF(F11=MatrixImpact!$B$5,MatrixImpact!$C$5,IF(F11=MatrixImpact!$B$6,MatrixImpact!$C$6,IF(F11=MatrixImpact!$B$7,MatrixImpact!$C$7,IF(F11=MatrixImpact!$B$8,MatrixImpact!$C$8,"")))))</f>
        <v/>
      </c>
      <c r="L11" s="281">
        <f t="shared" ca="1" si="2"/>
        <v>0</v>
      </c>
      <c r="M11" s="280" t="str">
        <f ca="1">IF(F11=MatrixImpact!$B$4,MatrixImpact!$D$4,IF(F11=MatrixImpact!$B$5,MatrixImpact!$D$5,IF(F11=MatrixImpact!$B$6,MatrixImpact!$D$6,IF(F11=MatrixImpact!$B$7,MatrixImpact!$D$7,IF(F11=MatrixImpact!$B$8,MatrixImpact!$D$8,"")))))</f>
        <v/>
      </c>
      <c r="N11" s="282"/>
      <c r="O11" s="283" t="str">
        <f ca="1">IF(G11=MatrixImpact!$B$10,MatrixImpact!$C$10,IF(G11=MatrixImpact!$B$11,MatrixImpact!$C$11,IF(G11=MatrixImpact!$B$12,MatrixImpact!$C$12,IF(G11=MatrixImpact!$B$13,MatrixImpact!$C$13,IF(G11=MatrixImpact!$B$14,MatrixImpact!$C$14,"")))))</f>
        <v/>
      </c>
      <c r="P11" s="284">
        <f t="shared" ca="1" si="3"/>
        <v>0</v>
      </c>
      <c r="Q11" s="283" t="str">
        <f ca="1">IF(IF(G11=MatrixImpact!$B$10,MatrixImpact!$D$10,IF(G11=MatrixImpact!$B$11,MatrixImpact!$D$11,IF(G11=MatrixImpact!$B$12,MatrixImpact!$D$12,IF(G11=MatrixImpact!$B$13,MatrixImpact!$D$13,IF(G11=MatrixImpact!$B$14,MatrixImpact!$D$14,"")))))&lt;P11,P11,IF(G11=MatrixImpact!$B$10,MatrixImpact!$D$10,IF(G11=MatrixImpact!$B$11,MatrixImpact!$D$11,IF(G11=MatrixImpact!$B$12,MatrixImpact!$D$12,IF(G11=MatrixImpact!$B$13,MatrixImpact!$D$13,IF(G11=MatrixImpact!$B$14,MatrixImpact!$D$14,""))))))</f>
        <v/>
      </c>
      <c r="R11" s="285"/>
      <c r="S11" s="283">
        <f t="shared" si="4"/>
        <v>0</v>
      </c>
      <c r="U11" s="286">
        <v>4</v>
      </c>
      <c r="V11" s="286">
        <v>2</v>
      </c>
      <c r="W11" s="287">
        <f>INDEX(MatrixImpact!C$4:C$8,MATCH($U11,MatrixImpact!$B$4:$B$8,0),1)*INDEX(MatrixImpact!C$10:C$14,MATCH($V11,MatrixImpact!$B$10:$B$14,0),1)</f>
        <v>1</v>
      </c>
      <c r="X11" s="287">
        <f>INDEX(MatrixImpact!D$4:D$8,MATCH($U11,MatrixImpact!$B$4:$B$8,0),1)*INDEX(MatrixImpact!D$10:D$14,MATCH($V11,MatrixImpact!$B$10:$B$14,0),1)</f>
        <v>4.5</v>
      </c>
      <c r="Y11" s="34" t="b">
        <f t="shared" si="5"/>
        <v>0</v>
      </c>
      <c r="AA11" s="284"/>
      <c r="AB11" s="280">
        <f t="shared" si="6"/>
        <v>0.59999999999999964</v>
      </c>
      <c r="AC11" s="283">
        <f t="shared" si="7"/>
        <v>0</v>
      </c>
      <c r="AD11" s="283"/>
      <c r="AE11" s="283"/>
      <c r="AG11" s="21" t="s">
        <v>747</v>
      </c>
      <c r="AH11" s="21" t="s">
        <v>748</v>
      </c>
    </row>
    <row r="12" spans="2:34" ht="15" customHeight="1" x14ac:dyDescent="0.25">
      <c r="B12" s="288">
        <v>10</v>
      </c>
      <c r="C12" s="289"/>
      <c r="D12" s="290"/>
      <c r="E12" s="291" t="str">
        <f ca="1">RiskList!A11&amp;": "&amp;RiskList!B11</f>
        <v xml:space="preserve">Company 110: </v>
      </c>
      <c r="F12" s="276" t="str">
        <f ca="1">IF($L12=0%,"",IF(AND($L12&gt;MatrixImpact!$C$8,$L12&lt;=MatrixImpact!$D$8),5,IF(AND($L12&gt;MatrixImpact!$C$7,$L12&lt;=MatrixImpact!$D$7),4,IF(AND($L12&gt;MatrixImpact!$C$6,$L12&lt;=MatrixImpact!$D$6),3,IF(AND($L12&gt;MatrixImpact!$C$5,$L12&lt;=MatrixImpact!$D$5),2,IF(AND($L12&gt;MatrixImpact!$C$4,$L12&lt;=MatrixImpact!$D$4),1,""))))))</f>
        <v/>
      </c>
      <c r="G12" s="292" t="str">
        <f ca="1">IF($P12&gt;MatrixImpact!$C$14,5,IF(AND($P12&gt;MatrixImpact!$C$13,$P12&lt;=MatrixImpact!$D$13),4,IF(AND($P12&gt;MatrixImpact!$C$12,$P12&lt;=MatrixImpact!$D$12),3,IF(AND($P12&gt;MatrixImpact!$C$11,$P12&lt;=MatrixImpact!$D$11),2,IF(AND($P12&gt;MatrixImpact!$C$10,$P12&lt;=MatrixImpact!$D$10),1,"")))))</f>
        <v/>
      </c>
      <c r="H12" s="293">
        <f t="shared" ca="1" si="0"/>
        <v>0</v>
      </c>
      <c r="J12" s="279">
        <f t="shared" si="1"/>
        <v>10</v>
      </c>
      <c r="K12" s="280" t="str">
        <f ca="1">IF(F12=MatrixImpact!$B$4,MatrixImpact!$C$4,IF(F12=MatrixImpact!$B$5,MatrixImpact!$C$5,IF(F12=MatrixImpact!$B$6,MatrixImpact!$C$6,IF(F12=MatrixImpact!$B$7,MatrixImpact!$C$7,IF(F12=MatrixImpact!$B$8,MatrixImpact!$C$8,"")))))</f>
        <v/>
      </c>
      <c r="L12" s="281">
        <f t="shared" ca="1" si="2"/>
        <v>0</v>
      </c>
      <c r="M12" s="280" t="str">
        <f ca="1">IF(F12=MatrixImpact!$B$4,MatrixImpact!$D$4,IF(F12=MatrixImpact!$B$5,MatrixImpact!$D$5,IF(F12=MatrixImpact!$B$6,MatrixImpact!$D$6,IF(F12=MatrixImpact!$B$7,MatrixImpact!$D$7,IF(F12=MatrixImpact!$B$8,MatrixImpact!$D$8,"")))))</f>
        <v/>
      </c>
      <c r="N12" s="282"/>
      <c r="O12" s="283" t="str">
        <f ca="1">IF(G12=MatrixImpact!$B$10,MatrixImpact!$C$10,IF(G12=MatrixImpact!$B$11,MatrixImpact!$C$11,IF(G12=MatrixImpact!$B$12,MatrixImpact!$C$12,IF(G12=MatrixImpact!$B$13,MatrixImpact!$C$13,IF(G12=MatrixImpact!$B$14,MatrixImpact!$C$14,"")))))</f>
        <v/>
      </c>
      <c r="P12" s="284">
        <f t="shared" ca="1" si="3"/>
        <v>0</v>
      </c>
      <c r="Q12" s="283" t="str">
        <f ca="1">IF(IF(G12=MatrixImpact!$B$10,MatrixImpact!$D$10,IF(G12=MatrixImpact!$B$11,MatrixImpact!$D$11,IF(G12=MatrixImpact!$B$12,MatrixImpact!$D$12,IF(G12=MatrixImpact!$B$13,MatrixImpact!$D$13,IF(G12=MatrixImpact!$B$14,MatrixImpact!$D$14,"")))))&lt;P12,P12,IF(G12=MatrixImpact!$B$10,MatrixImpact!$D$10,IF(G12=MatrixImpact!$B$11,MatrixImpact!$D$11,IF(G12=MatrixImpact!$B$12,MatrixImpact!$D$12,IF(G12=MatrixImpact!$B$13,MatrixImpact!$D$13,IF(G12=MatrixImpact!$B$14,MatrixImpact!$D$14,""))))))</f>
        <v/>
      </c>
      <c r="R12" s="285"/>
      <c r="S12" s="283">
        <f t="shared" si="4"/>
        <v>0</v>
      </c>
      <c r="U12" s="286">
        <v>5</v>
      </c>
      <c r="V12" s="286">
        <v>2</v>
      </c>
      <c r="W12" s="287">
        <f>INDEX(MatrixImpact!C$4:C$8,MATCH($U12,MatrixImpact!$B$4:$B$8,0),1)*INDEX(MatrixImpact!C$10:C$14,MATCH($V12,MatrixImpact!$B$10:$B$14,0),1)</f>
        <v>1.8</v>
      </c>
      <c r="X12" s="287">
        <f>INDEX(MatrixImpact!D$4:D$8,MATCH($U12,MatrixImpact!$B$4:$B$8,0),1)*INDEX(MatrixImpact!D$10:D$14,MATCH($V12,MatrixImpact!$B$10:$B$14,0),1)</f>
        <v>5</v>
      </c>
      <c r="Y12" s="34" t="b">
        <f t="shared" si="5"/>
        <v>0</v>
      </c>
      <c r="AA12" s="284"/>
      <c r="AB12" s="280">
        <f t="shared" si="6"/>
        <v>0.5499999999999996</v>
      </c>
      <c r="AC12" s="283">
        <f t="shared" si="7"/>
        <v>0</v>
      </c>
      <c r="AD12" s="283"/>
      <c r="AE12" s="283"/>
      <c r="AH12" s="21" t="s">
        <v>749</v>
      </c>
    </row>
    <row r="13" spans="2:34" ht="15" customHeight="1" x14ac:dyDescent="0.25">
      <c r="B13" s="288">
        <v>11</v>
      </c>
      <c r="C13" s="289"/>
      <c r="D13" s="290"/>
      <c r="E13" s="291" t="str">
        <f ca="1">RiskList!A12&amp;": "&amp;RiskList!B12</f>
        <v xml:space="preserve">Company 111: </v>
      </c>
      <c r="F13" s="276" t="str">
        <f ca="1">IF($L13=0%,"",IF(AND($L13&gt;MatrixImpact!$C$8,$L13&lt;=MatrixImpact!$D$8),5,IF(AND($L13&gt;MatrixImpact!$C$7,$L13&lt;=MatrixImpact!$D$7),4,IF(AND($L13&gt;MatrixImpact!$C$6,$L13&lt;=MatrixImpact!$D$6),3,IF(AND($L13&gt;MatrixImpact!$C$5,$L13&lt;=MatrixImpact!$D$5),2,IF(AND($L13&gt;MatrixImpact!$C$4,$L13&lt;=MatrixImpact!$D$4),1,""))))))</f>
        <v/>
      </c>
      <c r="G13" s="292" t="str">
        <f ca="1">IF($P13&gt;MatrixImpact!$C$14,5,IF(AND($P13&gt;MatrixImpact!$C$13,$P13&lt;=MatrixImpact!$D$13),4,IF(AND($P13&gt;MatrixImpact!$C$12,$P13&lt;=MatrixImpact!$D$12),3,IF(AND($P13&gt;MatrixImpact!$C$11,$P13&lt;=MatrixImpact!$D$11),2,IF(AND($P13&gt;MatrixImpact!$C$10,$P13&lt;=MatrixImpact!$D$10),1,"")))))</f>
        <v/>
      </c>
      <c r="H13" s="293">
        <f t="shared" ca="1" si="0"/>
        <v>0</v>
      </c>
      <c r="J13" s="279">
        <f t="shared" si="1"/>
        <v>11</v>
      </c>
      <c r="K13" s="280" t="str">
        <f ca="1">IF(F13=MatrixImpact!$B$4,MatrixImpact!$C$4,IF(F13=MatrixImpact!$B$5,MatrixImpact!$C$5,IF(F13=MatrixImpact!$B$6,MatrixImpact!$C$6,IF(F13=MatrixImpact!$B$7,MatrixImpact!$C$7,IF(F13=MatrixImpact!$B$8,MatrixImpact!$C$8,"")))))</f>
        <v/>
      </c>
      <c r="L13" s="281">
        <f t="shared" ca="1" si="2"/>
        <v>0</v>
      </c>
      <c r="M13" s="280" t="str">
        <f ca="1">IF(F13=MatrixImpact!$B$4,MatrixImpact!$D$4,IF(F13=MatrixImpact!$B$5,MatrixImpact!$D$5,IF(F13=MatrixImpact!$B$6,MatrixImpact!$D$6,IF(F13=MatrixImpact!$B$7,MatrixImpact!$D$7,IF(F13=MatrixImpact!$B$8,MatrixImpact!$D$8,"")))))</f>
        <v/>
      </c>
      <c r="N13" s="282"/>
      <c r="O13" s="283" t="str">
        <f ca="1">IF(G13=MatrixImpact!$B$10,MatrixImpact!$C$10,IF(G13=MatrixImpact!$B$11,MatrixImpact!$C$11,IF(G13=MatrixImpact!$B$12,MatrixImpact!$C$12,IF(G13=MatrixImpact!$B$13,MatrixImpact!$C$13,IF(G13=MatrixImpact!$B$14,MatrixImpact!$C$14,"")))))</f>
        <v/>
      </c>
      <c r="P13" s="284">
        <f t="shared" ca="1" si="3"/>
        <v>0</v>
      </c>
      <c r="Q13" s="283" t="str">
        <f ca="1">IF(IF(G13=MatrixImpact!$B$10,MatrixImpact!$D$10,IF(G13=MatrixImpact!$B$11,MatrixImpact!$D$11,IF(G13=MatrixImpact!$B$12,MatrixImpact!$D$12,IF(G13=MatrixImpact!$B$13,MatrixImpact!$D$13,IF(G13=MatrixImpact!$B$14,MatrixImpact!$D$14,"")))))&lt;P13,P13,IF(G13=MatrixImpact!$B$10,MatrixImpact!$D$10,IF(G13=MatrixImpact!$B$11,MatrixImpact!$D$11,IF(G13=MatrixImpact!$B$12,MatrixImpact!$D$12,IF(G13=MatrixImpact!$B$13,MatrixImpact!$D$13,IF(G13=MatrixImpact!$B$14,MatrixImpact!$D$14,""))))))</f>
        <v/>
      </c>
      <c r="R13" s="285"/>
      <c r="S13" s="283">
        <f t="shared" si="4"/>
        <v>0</v>
      </c>
      <c r="U13" s="286">
        <v>1</v>
      </c>
      <c r="V13" s="286">
        <v>3</v>
      </c>
      <c r="W13" s="287">
        <f>INDEX(MatrixImpact!C$4:C$8,MATCH($U13,MatrixImpact!$B$4:$B$8,0),1)*INDEX(MatrixImpact!C$10:C$14,MATCH($V13,MatrixImpact!$B$10:$B$14,0),1)</f>
        <v>0</v>
      </c>
      <c r="X13" s="287">
        <f>INDEX(MatrixImpact!D$4:D$8,MATCH($U13,MatrixImpact!$B$4:$B$8,0),1)*INDEX(MatrixImpact!D$10:D$14,MATCH($V13,MatrixImpact!$B$10:$B$14,0),1)</f>
        <v>1</v>
      </c>
      <c r="Y13" s="34" t="b">
        <f t="shared" si="5"/>
        <v>1</v>
      </c>
      <c r="AA13" s="284"/>
      <c r="AB13" s="280">
        <f t="shared" si="6"/>
        <v>0.49999999999999961</v>
      </c>
      <c r="AC13" s="283">
        <f t="shared" si="7"/>
        <v>0</v>
      </c>
      <c r="AD13" s="283"/>
      <c r="AE13" s="283"/>
      <c r="AG13" s="21"/>
      <c r="AH13" s="21" t="s">
        <v>750</v>
      </c>
    </row>
    <row r="14" spans="2:34" ht="15" customHeight="1" x14ac:dyDescent="0.25">
      <c r="B14" s="288">
        <v>12</v>
      </c>
      <c r="C14" s="289"/>
      <c r="D14" s="290"/>
      <c r="E14" s="291" t="str">
        <f ca="1">RiskList!A13&amp;": "&amp;RiskList!B13</f>
        <v xml:space="preserve">Company 112: </v>
      </c>
      <c r="F14" s="276" t="str">
        <f ca="1">IF($L14=0%,"",IF(AND($L14&gt;MatrixImpact!$C$8,$L14&lt;=MatrixImpact!$D$8),5,IF(AND($L14&gt;MatrixImpact!$C$7,$L14&lt;=MatrixImpact!$D$7),4,IF(AND($L14&gt;MatrixImpact!$C$6,$L14&lt;=MatrixImpact!$D$6),3,IF(AND($L14&gt;MatrixImpact!$C$5,$L14&lt;=MatrixImpact!$D$5),2,IF(AND($L14&gt;MatrixImpact!$C$4,$L14&lt;=MatrixImpact!$D$4),1,""))))))</f>
        <v/>
      </c>
      <c r="G14" s="292" t="str">
        <f ca="1">IF($P14&gt;MatrixImpact!$C$14,5,IF(AND($P14&gt;MatrixImpact!$C$13,$P14&lt;=MatrixImpact!$D$13),4,IF(AND($P14&gt;MatrixImpact!$C$12,$P14&lt;=MatrixImpact!$D$12),3,IF(AND($P14&gt;MatrixImpact!$C$11,$P14&lt;=MatrixImpact!$D$11),2,IF(AND($P14&gt;MatrixImpact!$C$10,$P14&lt;=MatrixImpact!$D$10),1,"")))))</f>
        <v/>
      </c>
      <c r="H14" s="293">
        <f t="shared" ca="1" si="0"/>
        <v>0</v>
      </c>
      <c r="J14" s="279">
        <f t="shared" si="1"/>
        <v>12</v>
      </c>
      <c r="K14" s="280" t="str">
        <f ca="1">IF(F14=MatrixImpact!$B$4,MatrixImpact!$C$4,IF(F14=MatrixImpact!$B$5,MatrixImpact!$C$5,IF(F14=MatrixImpact!$B$6,MatrixImpact!$C$6,IF(F14=MatrixImpact!$B$7,MatrixImpact!$C$7,IF(F14=MatrixImpact!$B$8,MatrixImpact!$C$8,"")))))</f>
        <v/>
      </c>
      <c r="L14" s="281">
        <f t="shared" ca="1" si="2"/>
        <v>0</v>
      </c>
      <c r="M14" s="280" t="str">
        <f ca="1">IF(F14=MatrixImpact!$B$4,MatrixImpact!$D$4,IF(F14=MatrixImpact!$B$5,MatrixImpact!$D$5,IF(F14=MatrixImpact!$B$6,MatrixImpact!$D$6,IF(F14=MatrixImpact!$B$7,MatrixImpact!$D$7,IF(F14=MatrixImpact!$B$8,MatrixImpact!$D$8,"")))))</f>
        <v/>
      </c>
      <c r="N14" s="282"/>
      <c r="O14" s="283" t="str">
        <f ca="1">IF(G14=MatrixImpact!$B$10,MatrixImpact!$C$10,IF(G14=MatrixImpact!$B$11,MatrixImpact!$C$11,IF(G14=MatrixImpact!$B$12,MatrixImpact!$C$12,IF(G14=MatrixImpact!$B$13,MatrixImpact!$C$13,IF(G14=MatrixImpact!$B$14,MatrixImpact!$C$14,"")))))</f>
        <v/>
      </c>
      <c r="P14" s="284">
        <f t="shared" ca="1" si="3"/>
        <v>0</v>
      </c>
      <c r="Q14" s="283" t="str">
        <f ca="1">IF(IF(G14=MatrixImpact!$B$10,MatrixImpact!$D$10,IF(G14=MatrixImpact!$B$11,MatrixImpact!$D$11,IF(G14=MatrixImpact!$B$12,MatrixImpact!$D$12,IF(G14=MatrixImpact!$B$13,MatrixImpact!$D$13,IF(G14=MatrixImpact!$B$14,MatrixImpact!$D$14,"")))))&lt;P14,P14,IF(G14=MatrixImpact!$B$10,MatrixImpact!$D$10,IF(G14=MatrixImpact!$B$11,MatrixImpact!$D$11,IF(G14=MatrixImpact!$B$12,MatrixImpact!$D$12,IF(G14=MatrixImpact!$B$13,MatrixImpact!$D$13,IF(G14=MatrixImpact!$B$14,MatrixImpact!$D$14,""))))))</f>
        <v/>
      </c>
      <c r="R14" s="285"/>
      <c r="S14" s="283">
        <f t="shared" si="4"/>
        <v>0</v>
      </c>
      <c r="U14" s="286">
        <v>2</v>
      </c>
      <c r="V14" s="286">
        <v>3</v>
      </c>
      <c r="W14" s="287">
        <f>INDEX(MatrixImpact!C$4:C$8,MATCH($U14,MatrixImpact!$B$4:$B$8,0),1)*INDEX(MatrixImpact!C$10:C$14,MATCH($V14,MatrixImpact!$B$10:$B$14,0),1)</f>
        <v>0.5</v>
      </c>
      <c r="X14" s="287">
        <f>INDEX(MatrixImpact!D$4:D$8,MATCH($U14,MatrixImpact!$B$4:$B$8,0),1)*INDEX(MatrixImpact!D$10:D$14,MATCH($V14,MatrixImpact!$B$10:$B$14,0),1)</f>
        <v>3</v>
      </c>
      <c r="Y14" s="34" t="b">
        <f t="shared" si="5"/>
        <v>0</v>
      </c>
      <c r="AA14" s="284"/>
      <c r="AB14" s="280">
        <f t="shared" si="6"/>
        <v>0.44999999999999962</v>
      </c>
      <c r="AC14" s="283">
        <f t="shared" si="7"/>
        <v>0</v>
      </c>
      <c r="AD14" s="283"/>
      <c r="AE14" s="283"/>
      <c r="AH14" s="21" t="s">
        <v>751</v>
      </c>
    </row>
    <row r="15" spans="2:34" ht="15" customHeight="1" x14ac:dyDescent="0.25">
      <c r="B15" s="288">
        <v>13</v>
      </c>
      <c r="C15" s="289"/>
      <c r="D15" s="290"/>
      <c r="E15" s="291" t="str">
        <f ca="1">RiskList!A14&amp;": "&amp;RiskList!B14</f>
        <v xml:space="preserve">Company 113: </v>
      </c>
      <c r="F15" s="276" t="str">
        <f ca="1">IF($L15=0%,"",IF(AND($L15&gt;MatrixImpact!$C$8,$L15&lt;=MatrixImpact!$D$8),5,IF(AND($L15&gt;MatrixImpact!$C$7,$L15&lt;=MatrixImpact!$D$7),4,IF(AND($L15&gt;MatrixImpact!$C$6,$L15&lt;=MatrixImpact!$D$6),3,IF(AND($L15&gt;MatrixImpact!$C$5,$L15&lt;=MatrixImpact!$D$5),2,IF(AND($L15&gt;MatrixImpact!$C$4,$L15&lt;=MatrixImpact!$D$4),1,""))))))</f>
        <v/>
      </c>
      <c r="G15" s="292" t="str">
        <f ca="1">IF($P15&gt;MatrixImpact!$C$14,5,IF(AND($P15&gt;MatrixImpact!$C$13,$P15&lt;=MatrixImpact!$D$13),4,IF(AND($P15&gt;MatrixImpact!$C$12,$P15&lt;=MatrixImpact!$D$12),3,IF(AND($P15&gt;MatrixImpact!$C$11,$P15&lt;=MatrixImpact!$D$11),2,IF(AND($P15&gt;MatrixImpact!$C$10,$P15&lt;=MatrixImpact!$D$10),1,"")))))</f>
        <v/>
      </c>
      <c r="H15" s="293">
        <f t="shared" ca="1" si="0"/>
        <v>0</v>
      </c>
      <c r="J15" s="279">
        <f t="shared" si="1"/>
        <v>13</v>
      </c>
      <c r="K15" s="280" t="str">
        <f ca="1">IF(F15=MatrixImpact!$B$4,MatrixImpact!$C$4,IF(F15=MatrixImpact!$B$5,MatrixImpact!$C$5,IF(F15=MatrixImpact!$B$6,MatrixImpact!$C$6,IF(F15=MatrixImpact!$B$7,MatrixImpact!$C$7,IF(F15=MatrixImpact!$B$8,MatrixImpact!$C$8,"")))))</f>
        <v/>
      </c>
      <c r="L15" s="281">
        <f t="shared" ca="1" si="2"/>
        <v>0</v>
      </c>
      <c r="M15" s="280" t="str">
        <f ca="1">IF(F15=MatrixImpact!$B$4,MatrixImpact!$D$4,IF(F15=MatrixImpact!$B$5,MatrixImpact!$D$5,IF(F15=MatrixImpact!$B$6,MatrixImpact!$D$6,IF(F15=MatrixImpact!$B$7,MatrixImpact!$D$7,IF(F15=MatrixImpact!$B$8,MatrixImpact!$D$8,"")))))</f>
        <v/>
      </c>
      <c r="N15" s="282"/>
      <c r="O15" s="283" t="str">
        <f ca="1">IF(G15=MatrixImpact!$B$10,MatrixImpact!$C$10,IF(G15=MatrixImpact!$B$11,MatrixImpact!$C$11,IF(G15=MatrixImpact!$B$12,MatrixImpact!$C$12,IF(G15=MatrixImpact!$B$13,MatrixImpact!$C$13,IF(G15=MatrixImpact!$B$14,MatrixImpact!$C$14,"")))))</f>
        <v/>
      </c>
      <c r="P15" s="284">
        <f t="shared" ca="1" si="3"/>
        <v>0</v>
      </c>
      <c r="Q15" s="283" t="str">
        <f ca="1">IF(IF(G15=MatrixImpact!$B$10,MatrixImpact!$D$10,IF(G15=MatrixImpact!$B$11,MatrixImpact!$D$11,IF(G15=MatrixImpact!$B$12,MatrixImpact!$D$12,IF(G15=MatrixImpact!$B$13,MatrixImpact!$D$13,IF(G15=MatrixImpact!$B$14,MatrixImpact!$D$14,"")))))&lt;P15,P15,IF(G15=MatrixImpact!$B$10,MatrixImpact!$D$10,IF(G15=MatrixImpact!$B$11,MatrixImpact!$D$11,IF(G15=MatrixImpact!$B$12,MatrixImpact!$D$12,IF(G15=MatrixImpact!$B$13,MatrixImpact!$D$13,IF(G15=MatrixImpact!$B$14,MatrixImpact!$D$14,""))))))</f>
        <v/>
      </c>
      <c r="R15" s="285"/>
      <c r="S15" s="283">
        <f t="shared" si="4"/>
        <v>0</v>
      </c>
      <c r="U15" s="286">
        <v>3</v>
      </c>
      <c r="V15" s="286">
        <v>3</v>
      </c>
      <c r="W15" s="287">
        <f>INDEX(MatrixImpact!C$4:C$8,MATCH($U15,MatrixImpact!$B$4:$B$8,0),1)*INDEX(MatrixImpact!C$10:C$14,MATCH($V15,MatrixImpact!$B$10:$B$14,0),1)</f>
        <v>1.5</v>
      </c>
      <c r="X15" s="287">
        <f>INDEX(MatrixImpact!D$4:D$8,MATCH($U15,MatrixImpact!$B$4:$B$8,0),1)*INDEX(MatrixImpact!D$10:D$14,MATCH($V15,MatrixImpact!$B$10:$B$14,0),1)</f>
        <v>5</v>
      </c>
      <c r="Y15" s="34" t="b">
        <f t="shared" si="5"/>
        <v>0</v>
      </c>
      <c r="AA15" s="284"/>
      <c r="AB15" s="280">
        <f t="shared" si="6"/>
        <v>0.39999999999999963</v>
      </c>
      <c r="AC15" s="283">
        <f t="shared" si="7"/>
        <v>0</v>
      </c>
      <c r="AD15" s="283"/>
      <c r="AE15" s="283"/>
      <c r="AH15" s="21" t="s">
        <v>752</v>
      </c>
    </row>
    <row r="16" spans="2:34" ht="15" customHeight="1" x14ac:dyDescent="0.25">
      <c r="B16" s="288">
        <v>14</v>
      </c>
      <c r="C16" s="289"/>
      <c r="D16" s="290"/>
      <c r="E16" s="291" t="str">
        <f ca="1">RiskList!A15&amp;": "&amp;RiskList!B15</f>
        <v xml:space="preserve">Company 114: </v>
      </c>
      <c r="F16" s="276" t="str">
        <f ca="1">IF($L16=0%,"",IF(AND($L16&gt;MatrixImpact!$C$8,$L16&lt;=MatrixImpact!$D$8),5,IF(AND($L16&gt;MatrixImpact!$C$7,$L16&lt;=MatrixImpact!$D$7),4,IF(AND($L16&gt;MatrixImpact!$C$6,$L16&lt;=MatrixImpact!$D$6),3,IF(AND($L16&gt;MatrixImpact!$C$5,$L16&lt;=MatrixImpact!$D$5),2,IF(AND($L16&gt;MatrixImpact!$C$4,$L16&lt;=MatrixImpact!$D$4),1,""))))))</f>
        <v/>
      </c>
      <c r="G16" s="292" t="str">
        <f ca="1">IF($P16&gt;MatrixImpact!$C$14,5,IF(AND($P16&gt;MatrixImpact!$C$13,$P16&lt;=MatrixImpact!$D$13),4,IF(AND($P16&gt;MatrixImpact!$C$12,$P16&lt;=MatrixImpact!$D$12),3,IF(AND($P16&gt;MatrixImpact!$C$11,$P16&lt;=MatrixImpact!$D$11),2,IF(AND($P16&gt;MatrixImpact!$C$10,$P16&lt;=MatrixImpact!$D$10),1,"")))))</f>
        <v/>
      </c>
      <c r="H16" s="293">
        <f t="shared" ca="1" si="0"/>
        <v>0</v>
      </c>
      <c r="J16" s="279">
        <f t="shared" si="1"/>
        <v>14</v>
      </c>
      <c r="K16" s="280" t="str">
        <f ca="1">IF(F16=MatrixImpact!$B$4,MatrixImpact!$C$4,IF(F16=MatrixImpact!$B$5,MatrixImpact!$C$5,IF(F16=MatrixImpact!$B$6,MatrixImpact!$C$6,IF(F16=MatrixImpact!$B$7,MatrixImpact!$C$7,IF(F16=MatrixImpact!$B$8,MatrixImpact!$C$8,"")))))</f>
        <v/>
      </c>
      <c r="L16" s="281">
        <f t="shared" ca="1" si="2"/>
        <v>0</v>
      </c>
      <c r="M16" s="280" t="str">
        <f ca="1">IF(F16=MatrixImpact!$B$4,MatrixImpact!$D$4,IF(F16=MatrixImpact!$B$5,MatrixImpact!$D$5,IF(F16=MatrixImpact!$B$6,MatrixImpact!$D$6,IF(F16=MatrixImpact!$B$7,MatrixImpact!$D$7,IF(F16=MatrixImpact!$B$8,MatrixImpact!$D$8,"")))))</f>
        <v/>
      </c>
      <c r="N16" s="282"/>
      <c r="O16" s="283" t="str">
        <f ca="1">IF(G16=MatrixImpact!$B$10,MatrixImpact!$C$10,IF(G16=MatrixImpact!$B$11,MatrixImpact!$C$11,IF(G16=MatrixImpact!$B$12,MatrixImpact!$C$12,IF(G16=MatrixImpact!$B$13,MatrixImpact!$C$13,IF(G16=MatrixImpact!$B$14,MatrixImpact!$C$14,"")))))</f>
        <v/>
      </c>
      <c r="P16" s="284">
        <f t="shared" ca="1" si="3"/>
        <v>0</v>
      </c>
      <c r="Q16" s="283" t="str">
        <f ca="1">IF(IF(G16=MatrixImpact!$B$10,MatrixImpact!$D$10,IF(G16=MatrixImpact!$B$11,MatrixImpact!$D$11,IF(G16=MatrixImpact!$B$12,MatrixImpact!$D$12,IF(G16=MatrixImpact!$B$13,MatrixImpact!$D$13,IF(G16=MatrixImpact!$B$14,MatrixImpact!$D$14,"")))))&lt;P16,P16,IF(G16=MatrixImpact!$B$10,MatrixImpact!$D$10,IF(G16=MatrixImpact!$B$11,MatrixImpact!$D$11,IF(G16=MatrixImpact!$B$12,MatrixImpact!$D$12,IF(G16=MatrixImpact!$B$13,MatrixImpact!$D$13,IF(G16=MatrixImpact!$B$14,MatrixImpact!$D$14,""))))))</f>
        <v/>
      </c>
      <c r="R16" s="285"/>
      <c r="S16" s="283">
        <f t="shared" si="4"/>
        <v>0</v>
      </c>
      <c r="U16" s="286">
        <v>4</v>
      </c>
      <c r="V16" s="286">
        <v>3</v>
      </c>
      <c r="W16" s="287">
        <f>INDEX(MatrixImpact!C$4:C$8,MATCH($U16,MatrixImpact!$B$4:$B$8,0),1)*INDEX(MatrixImpact!C$10:C$14,MATCH($V16,MatrixImpact!$B$10:$B$14,0),1)</f>
        <v>2.5</v>
      </c>
      <c r="X16" s="287">
        <f>INDEX(MatrixImpact!D$4:D$8,MATCH($U16,MatrixImpact!$B$4:$B$8,0),1)*INDEX(MatrixImpact!D$10:D$14,MATCH($V16,MatrixImpact!$B$10:$B$14,0),1)</f>
        <v>9</v>
      </c>
      <c r="Y16" s="34" t="b">
        <f t="shared" si="5"/>
        <v>0</v>
      </c>
      <c r="AA16" s="284"/>
      <c r="AB16" s="280">
        <f t="shared" si="6"/>
        <v>0.34999999999999964</v>
      </c>
      <c r="AC16" s="283">
        <f t="shared" si="7"/>
        <v>0</v>
      </c>
      <c r="AD16" s="283"/>
      <c r="AE16" s="283"/>
      <c r="AG16" s="21"/>
      <c r="AH16" s="21"/>
    </row>
    <row r="17" spans="2:34" ht="15" customHeight="1" x14ac:dyDescent="0.25">
      <c r="B17" s="288">
        <v>15</v>
      </c>
      <c r="C17" s="289"/>
      <c r="D17" s="290"/>
      <c r="E17" s="291" t="str">
        <f ca="1">RiskList!A16&amp;": "&amp;RiskList!B16</f>
        <v xml:space="preserve">Company 115: </v>
      </c>
      <c r="F17" s="276" t="str">
        <f ca="1">IF($L17=0%,"",IF(AND($L17&gt;MatrixImpact!$C$8,$L17&lt;=MatrixImpact!$D$8),5,IF(AND($L17&gt;MatrixImpact!$C$7,$L17&lt;=MatrixImpact!$D$7),4,IF(AND($L17&gt;MatrixImpact!$C$6,$L17&lt;=MatrixImpact!$D$6),3,IF(AND($L17&gt;MatrixImpact!$C$5,$L17&lt;=MatrixImpact!$D$5),2,IF(AND($L17&gt;MatrixImpact!$C$4,$L17&lt;=MatrixImpact!$D$4),1,""))))))</f>
        <v/>
      </c>
      <c r="G17" s="292" t="str">
        <f ca="1">IF($P17&gt;MatrixImpact!$C$14,5,IF(AND($P17&gt;MatrixImpact!$C$13,$P17&lt;=MatrixImpact!$D$13),4,IF(AND($P17&gt;MatrixImpact!$C$12,$P17&lt;=MatrixImpact!$D$12),3,IF(AND($P17&gt;MatrixImpact!$C$11,$P17&lt;=MatrixImpact!$D$11),2,IF(AND($P17&gt;MatrixImpact!$C$10,$P17&lt;=MatrixImpact!$D$10),1,"")))))</f>
        <v/>
      </c>
      <c r="H17" s="293">
        <f t="shared" ca="1" si="0"/>
        <v>0</v>
      </c>
      <c r="J17" s="279">
        <f t="shared" si="1"/>
        <v>15</v>
      </c>
      <c r="K17" s="280" t="str">
        <f ca="1">IF(F17=MatrixImpact!$B$4,MatrixImpact!$C$4,IF(F17=MatrixImpact!$B$5,MatrixImpact!$C$5,IF(F17=MatrixImpact!$B$6,MatrixImpact!$C$6,IF(F17=MatrixImpact!$B$7,MatrixImpact!$C$7,IF(F17=MatrixImpact!$B$8,MatrixImpact!$C$8,"")))))</f>
        <v/>
      </c>
      <c r="L17" s="281">
        <f t="shared" ca="1" si="2"/>
        <v>0</v>
      </c>
      <c r="M17" s="280" t="str">
        <f ca="1">IF(F17=MatrixImpact!$B$4,MatrixImpact!$D$4,IF(F17=MatrixImpact!$B$5,MatrixImpact!$D$5,IF(F17=MatrixImpact!$B$6,MatrixImpact!$D$6,IF(F17=MatrixImpact!$B$7,MatrixImpact!$D$7,IF(F17=MatrixImpact!$B$8,MatrixImpact!$D$8,"")))))</f>
        <v/>
      </c>
      <c r="N17" s="282"/>
      <c r="O17" s="283" t="str">
        <f ca="1">IF(G17=MatrixImpact!$B$10,MatrixImpact!$C$10,IF(G17=MatrixImpact!$B$11,MatrixImpact!$C$11,IF(G17=MatrixImpact!$B$12,MatrixImpact!$C$12,IF(G17=MatrixImpact!$B$13,MatrixImpact!$C$13,IF(G17=MatrixImpact!$B$14,MatrixImpact!$C$14,"")))))</f>
        <v/>
      </c>
      <c r="P17" s="284">
        <f t="shared" ca="1" si="3"/>
        <v>0</v>
      </c>
      <c r="Q17" s="283" t="str">
        <f ca="1">IF(IF(G17=MatrixImpact!$B$10,MatrixImpact!$D$10,IF(G17=MatrixImpact!$B$11,MatrixImpact!$D$11,IF(G17=MatrixImpact!$B$12,MatrixImpact!$D$12,IF(G17=MatrixImpact!$B$13,MatrixImpact!$D$13,IF(G17=MatrixImpact!$B$14,MatrixImpact!$D$14,"")))))&lt;P17,P17,IF(G17=MatrixImpact!$B$10,MatrixImpact!$D$10,IF(G17=MatrixImpact!$B$11,MatrixImpact!$D$11,IF(G17=MatrixImpact!$B$12,MatrixImpact!$D$12,IF(G17=MatrixImpact!$B$13,MatrixImpact!$D$13,IF(G17=MatrixImpact!$B$14,MatrixImpact!$D$14,""))))))</f>
        <v/>
      </c>
      <c r="R17" s="285"/>
      <c r="S17" s="283">
        <f t="shared" si="4"/>
        <v>0</v>
      </c>
      <c r="U17" s="286">
        <v>5</v>
      </c>
      <c r="V17" s="286">
        <v>3</v>
      </c>
      <c r="W17" s="287">
        <f>INDEX(MatrixImpact!C$4:C$8,MATCH($U17,MatrixImpact!$B$4:$B$8,0),1)*INDEX(MatrixImpact!C$10:C$14,MATCH($V17,MatrixImpact!$B$10:$B$14,0),1)</f>
        <v>4.5</v>
      </c>
      <c r="X17" s="287">
        <f>INDEX(MatrixImpact!D$4:D$8,MATCH($U17,MatrixImpact!$B$4:$B$8,0),1)*INDEX(MatrixImpact!D$10:D$14,MATCH($V17,MatrixImpact!$B$10:$B$14,0),1)</f>
        <v>10</v>
      </c>
      <c r="Y17" s="34" t="b">
        <f t="shared" si="5"/>
        <v>0</v>
      </c>
      <c r="AA17" s="284"/>
      <c r="AB17" s="280">
        <f t="shared" si="6"/>
        <v>0.29999999999999966</v>
      </c>
      <c r="AC17" s="283">
        <f t="shared" si="7"/>
        <v>0</v>
      </c>
      <c r="AD17" s="283"/>
      <c r="AE17" s="283"/>
      <c r="AG17" s="21" t="s">
        <v>733</v>
      </c>
      <c r="AH17" s="21" t="s">
        <v>734</v>
      </c>
    </row>
    <row r="18" spans="2:34" ht="15" customHeight="1" x14ac:dyDescent="0.25">
      <c r="B18" s="288">
        <v>16</v>
      </c>
      <c r="C18" s="289"/>
      <c r="D18" s="290"/>
      <c r="E18" s="291" t="str">
        <f ca="1">RiskList!A17&amp;": "&amp;RiskList!B17</f>
        <v xml:space="preserve">Company 116: </v>
      </c>
      <c r="F18" s="276" t="str">
        <f ca="1">IF($L18=0%,"",IF(AND($L18&gt;MatrixImpact!$C$8,$L18&lt;=MatrixImpact!$D$8),5,IF(AND($L18&gt;MatrixImpact!$C$7,$L18&lt;=MatrixImpact!$D$7),4,IF(AND($L18&gt;MatrixImpact!$C$6,$L18&lt;=MatrixImpact!$D$6),3,IF(AND($L18&gt;MatrixImpact!$C$5,$L18&lt;=MatrixImpact!$D$5),2,IF(AND($L18&gt;MatrixImpact!$C$4,$L18&lt;=MatrixImpact!$D$4),1,""))))))</f>
        <v/>
      </c>
      <c r="G18" s="292" t="str">
        <f ca="1">IF($P18&gt;MatrixImpact!$C$14,5,IF(AND($P18&gt;MatrixImpact!$C$13,$P18&lt;=MatrixImpact!$D$13),4,IF(AND($P18&gt;MatrixImpact!$C$12,$P18&lt;=MatrixImpact!$D$12),3,IF(AND($P18&gt;MatrixImpact!$C$11,$P18&lt;=MatrixImpact!$D$11),2,IF(AND($P18&gt;MatrixImpact!$C$10,$P18&lt;=MatrixImpact!$D$10),1,"")))))</f>
        <v/>
      </c>
      <c r="H18" s="293">
        <f t="shared" ca="1" si="0"/>
        <v>0</v>
      </c>
      <c r="J18" s="279">
        <f t="shared" si="1"/>
        <v>16</v>
      </c>
      <c r="K18" s="280" t="str">
        <f ca="1">IF(F18=MatrixImpact!$B$4,MatrixImpact!$C$4,IF(F18=MatrixImpact!$B$5,MatrixImpact!$C$5,IF(F18=MatrixImpact!$B$6,MatrixImpact!$C$6,IF(F18=MatrixImpact!$B$7,MatrixImpact!$C$7,IF(F18=MatrixImpact!$B$8,MatrixImpact!$C$8,"")))))</f>
        <v/>
      </c>
      <c r="L18" s="281">
        <f t="shared" ca="1" si="2"/>
        <v>0</v>
      </c>
      <c r="M18" s="280" t="str">
        <f ca="1">IF(F18=MatrixImpact!$B$4,MatrixImpact!$D$4,IF(F18=MatrixImpact!$B$5,MatrixImpact!$D$5,IF(F18=MatrixImpact!$B$6,MatrixImpact!$D$6,IF(F18=MatrixImpact!$B$7,MatrixImpact!$D$7,IF(F18=MatrixImpact!$B$8,MatrixImpact!$D$8,"")))))</f>
        <v/>
      </c>
      <c r="N18" s="282"/>
      <c r="O18" s="283" t="str">
        <f ca="1">IF(G18=MatrixImpact!$B$10,MatrixImpact!$C$10,IF(G18=MatrixImpact!$B$11,MatrixImpact!$C$11,IF(G18=MatrixImpact!$B$12,MatrixImpact!$C$12,IF(G18=MatrixImpact!$B$13,MatrixImpact!$C$13,IF(G18=MatrixImpact!$B$14,MatrixImpact!$C$14,"")))))</f>
        <v/>
      </c>
      <c r="P18" s="284">
        <f t="shared" ca="1" si="3"/>
        <v>0</v>
      </c>
      <c r="Q18" s="283" t="str">
        <f ca="1">IF(IF(G18=MatrixImpact!$B$10,MatrixImpact!$D$10,IF(G18=MatrixImpact!$B$11,MatrixImpact!$D$11,IF(G18=MatrixImpact!$B$12,MatrixImpact!$D$12,IF(G18=MatrixImpact!$B$13,MatrixImpact!$D$13,IF(G18=MatrixImpact!$B$14,MatrixImpact!$D$14,"")))))&lt;P18,P18,IF(G18=MatrixImpact!$B$10,MatrixImpact!$D$10,IF(G18=MatrixImpact!$B$11,MatrixImpact!$D$11,IF(G18=MatrixImpact!$B$12,MatrixImpact!$D$12,IF(G18=MatrixImpact!$B$13,MatrixImpact!$D$13,IF(G18=MatrixImpact!$B$14,MatrixImpact!$D$14,""))))))</f>
        <v/>
      </c>
      <c r="R18" s="285"/>
      <c r="S18" s="283">
        <f t="shared" si="4"/>
        <v>0</v>
      </c>
      <c r="U18" s="286">
        <v>1</v>
      </c>
      <c r="V18" s="286">
        <v>4</v>
      </c>
      <c r="W18" s="287">
        <f>INDEX(MatrixImpact!C$4:C$8,MATCH($U18,MatrixImpact!$B$4:$B$8,0),1)*INDEX(MatrixImpact!C$10:C$14,MATCH($V18,MatrixImpact!$B$10:$B$14,0),1)</f>
        <v>0</v>
      </c>
      <c r="X18" s="287">
        <f>INDEX(MatrixImpact!D$4:D$8,MATCH($U18,MatrixImpact!$B$4:$B$8,0),1)*INDEX(MatrixImpact!D$10:D$14,MATCH($V18,MatrixImpact!$B$10:$B$14,0),1)</f>
        <v>3</v>
      </c>
      <c r="Y18" s="34" t="b">
        <f t="shared" si="5"/>
        <v>1</v>
      </c>
      <c r="AA18" s="284"/>
      <c r="AB18" s="280">
        <f t="shared" si="6"/>
        <v>0.24999999999999967</v>
      </c>
      <c r="AC18" s="283">
        <f t="shared" si="7"/>
        <v>0</v>
      </c>
      <c r="AD18" s="283"/>
      <c r="AE18" s="283"/>
      <c r="AG18" s="21" t="s">
        <v>735</v>
      </c>
      <c r="AH18" s="21" t="s">
        <v>736</v>
      </c>
    </row>
    <row r="19" spans="2:34" ht="15" customHeight="1" x14ac:dyDescent="0.25">
      <c r="B19" s="288">
        <v>17</v>
      </c>
      <c r="C19" s="289"/>
      <c r="D19" s="290"/>
      <c r="E19" s="291" t="str">
        <f ca="1">RiskList!A18&amp;": "&amp;RiskList!B18</f>
        <v xml:space="preserve">Company 117: </v>
      </c>
      <c r="F19" s="276" t="str">
        <f ca="1">IF($L19=0%,"",IF(AND($L19&gt;MatrixImpact!$C$8,$L19&lt;=MatrixImpact!$D$8),5,IF(AND($L19&gt;MatrixImpact!$C$7,$L19&lt;=MatrixImpact!$D$7),4,IF(AND($L19&gt;MatrixImpact!$C$6,$L19&lt;=MatrixImpact!$D$6),3,IF(AND($L19&gt;MatrixImpact!$C$5,$L19&lt;=MatrixImpact!$D$5),2,IF(AND($L19&gt;MatrixImpact!$C$4,$L19&lt;=MatrixImpact!$D$4),1,""))))))</f>
        <v/>
      </c>
      <c r="G19" s="292" t="str">
        <f ca="1">IF($P19&gt;MatrixImpact!$C$14,5,IF(AND($P19&gt;MatrixImpact!$C$13,$P19&lt;=MatrixImpact!$D$13),4,IF(AND($P19&gt;MatrixImpact!$C$12,$P19&lt;=MatrixImpact!$D$12),3,IF(AND($P19&gt;MatrixImpact!$C$11,$P19&lt;=MatrixImpact!$D$11),2,IF(AND($P19&gt;MatrixImpact!$C$10,$P19&lt;=MatrixImpact!$D$10),1,"")))))</f>
        <v/>
      </c>
      <c r="H19" s="293">
        <f t="shared" ca="1" si="0"/>
        <v>0</v>
      </c>
      <c r="J19" s="279">
        <f t="shared" si="1"/>
        <v>17</v>
      </c>
      <c r="K19" s="280" t="str">
        <f ca="1">IF(F19=MatrixImpact!$B$4,MatrixImpact!$C$4,IF(F19=MatrixImpact!$B$5,MatrixImpact!$C$5,IF(F19=MatrixImpact!$B$6,MatrixImpact!$C$6,IF(F19=MatrixImpact!$B$7,MatrixImpact!$C$7,IF(F19=MatrixImpact!$B$8,MatrixImpact!$C$8,"")))))</f>
        <v/>
      </c>
      <c r="L19" s="281">
        <f t="shared" ca="1" si="2"/>
        <v>0</v>
      </c>
      <c r="M19" s="280" t="str">
        <f ca="1">IF(F19=MatrixImpact!$B$4,MatrixImpact!$D$4,IF(F19=MatrixImpact!$B$5,MatrixImpact!$D$5,IF(F19=MatrixImpact!$B$6,MatrixImpact!$D$6,IF(F19=MatrixImpact!$B$7,MatrixImpact!$D$7,IF(F19=MatrixImpact!$B$8,MatrixImpact!$D$8,"")))))</f>
        <v/>
      </c>
      <c r="N19" s="282"/>
      <c r="O19" s="283" t="str">
        <f ca="1">IF(G19=MatrixImpact!$B$10,MatrixImpact!$C$10,IF(G19=MatrixImpact!$B$11,MatrixImpact!$C$11,IF(G19=MatrixImpact!$B$12,MatrixImpact!$C$12,IF(G19=MatrixImpact!$B$13,MatrixImpact!$C$13,IF(G19=MatrixImpact!$B$14,MatrixImpact!$C$14,"")))))</f>
        <v/>
      </c>
      <c r="P19" s="284">
        <f t="shared" ca="1" si="3"/>
        <v>0</v>
      </c>
      <c r="Q19" s="283" t="str">
        <f ca="1">IF(IF(G19=MatrixImpact!$B$10,MatrixImpact!$D$10,IF(G19=MatrixImpact!$B$11,MatrixImpact!$D$11,IF(G19=MatrixImpact!$B$12,MatrixImpact!$D$12,IF(G19=MatrixImpact!$B$13,MatrixImpact!$D$13,IF(G19=MatrixImpact!$B$14,MatrixImpact!$D$14,"")))))&lt;P19,P19,IF(G19=MatrixImpact!$B$10,MatrixImpact!$D$10,IF(G19=MatrixImpact!$B$11,MatrixImpact!$D$11,IF(G19=MatrixImpact!$B$12,MatrixImpact!$D$12,IF(G19=MatrixImpact!$B$13,MatrixImpact!$D$13,IF(G19=MatrixImpact!$B$14,MatrixImpact!$D$14,""))))))</f>
        <v/>
      </c>
      <c r="R19" s="285"/>
      <c r="S19" s="283">
        <f t="shared" si="4"/>
        <v>0</v>
      </c>
      <c r="U19" s="286">
        <v>2</v>
      </c>
      <c r="V19" s="286">
        <v>4</v>
      </c>
      <c r="W19" s="287">
        <f>INDEX(MatrixImpact!C$4:C$8,MATCH($U19,MatrixImpact!$B$4:$B$8,0),1)*INDEX(MatrixImpact!C$10:C$14,MATCH($V19,MatrixImpact!$B$10:$B$14,0),1)</f>
        <v>1</v>
      </c>
      <c r="X19" s="287">
        <f>INDEX(MatrixImpact!D$4:D$8,MATCH($U19,MatrixImpact!$B$4:$B$8,0),1)*INDEX(MatrixImpact!D$10:D$14,MATCH($V19,MatrixImpact!$B$10:$B$14,0),1)</f>
        <v>9</v>
      </c>
      <c r="Y19" s="34" t="b">
        <f t="shared" si="5"/>
        <v>0</v>
      </c>
      <c r="AA19" s="284"/>
      <c r="AB19" s="280">
        <f t="shared" si="6"/>
        <v>0.19999999999999968</v>
      </c>
      <c r="AC19" s="283">
        <f t="shared" si="7"/>
        <v>0</v>
      </c>
      <c r="AD19" s="283"/>
      <c r="AE19" s="283"/>
      <c r="AG19" s="21" t="s">
        <v>737</v>
      </c>
      <c r="AH19" s="21" t="s">
        <v>738</v>
      </c>
    </row>
    <row r="20" spans="2:34" ht="15" customHeight="1" x14ac:dyDescent="0.25">
      <c r="B20" s="288">
        <v>18</v>
      </c>
      <c r="C20" s="289"/>
      <c r="D20" s="290"/>
      <c r="E20" s="291" t="str">
        <f ca="1">RiskList!A19&amp;": "&amp;RiskList!B19</f>
        <v xml:space="preserve">Company 118: </v>
      </c>
      <c r="F20" s="276" t="str">
        <f ca="1">IF($L20=0%,"",IF(AND($L20&gt;MatrixImpact!$C$8,$L20&lt;=MatrixImpact!$D$8),5,IF(AND($L20&gt;MatrixImpact!$C$7,$L20&lt;=MatrixImpact!$D$7),4,IF(AND($L20&gt;MatrixImpact!$C$6,$L20&lt;=MatrixImpact!$D$6),3,IF(AND($L20&gt;MatrixImpact!$C$5,$L20&lt;=MatrixImpact!$D$5),2,IF(AND($L20&gt;MatrixImpact!$C$4,$L20&lt;=MatrixImpact!$D$4),1,""))))))</f>
        <v/>
      </c>
      <c r="G20" s="292" t="str">
        <f ca="1">IF($P20&gt;MatrixImpact!$C$14,5,IF(AND($P20&gt;MatrixImpact!$C$13,$P20&lt;=MatrixImpact!$D$13),4,IF(AND($P20&gt;MatrixImpact!$C$12,$P20&lt;=MatrixImpact!$D$12),3,IF(AND($P20&gt;MatrixImpact!$C$11,$P20&lt;=MatrixImpact!$D$11),2,IF(AND($P20&gt;MatrixImpact!$C$10,$P20&lt;=MatrixImpact!$D$10),1,"")))))</f>
        <v/>
      </c>
      <c r="H20" s="293">
        <f t="shared" ca="1" si="0"/>
        <v>0</v>
      </c>
      <c r="J20" s="279">
        <f t="shared" si="1"/>
        <v>18</v>
      </c>
      <c r="K20" s="280" t="str">
        <f ca="1">IF(F20=MatrixImpact!$B$4,MatrixImpact!$C$4,IF(F20=MatrixImpact!$B$5,MatrixImpact!$C$5,IF(F20=MatrixImpact!$B$6,MatrixImpact!$C$6,IF(F20=MatrixImpact!$B$7,MatrixImpact!$C$7,IF(F20=MatrixImpact!$B$8,MatrixImpact!$C$8,"")))))</f>
        <v/>
      </c>
      <c r="L20" s="281">
        <f t="shared" ca="1" si="2"/>
        <v>0</v>
      </c>
      <c r="M20" s="280" t="str">
        <f ca="1">IF(F20=MatrixImpact!$B$4,MatrixImpact!$D$4,IF(F20=MatrixImpact!$B$5,MatrixImpact!$D$5,IF(F20=MatrixImpact!$B$6,MatrixImpact!$D$6,IF(F20=MatrixImpact!$B$7,MatrixImpact!$D$7,IF(F20=MatrixImpact!$B$8,MatrixImpact!$D$8,"")))))</f>
        <v/>
      </c>
      <c r="N20" s="282"/>
      <c r="O20" s="283" t="str">
        <f ca="1">IF(G20=MatrixImpact!$B$10,MatrixImpact!$C$10,IF(G20=MatrixImpact!$B$11,MatrixImpact!$C$11,IF(G20=MatrixImpact!$B$12,MatrixImpact!$C$12,IF(G20=MatrixImpact!$B$13,MatrixImpact!$C$13,IF(G20=MatrixImpact!$B$14,MatrixImpact!$C$14,"")))))</f>
        <v/>
      </c>
      <c r="P20" s="284">
        <f t="shared" ca="1" si="3"/>
        <v>0</v>
      </c>
      <c r="Q20" s="283" t="str">
        <f ca="1">IF(IF(G20=MatrixImpact!$B$10,MatrixImpact!$D$10,IF(G20=MatrixImpact!$B$11,MatrixImpact!$D$11,IF(G20=MatrixImpact!$B$12,MatrixImpact!$D$12,IF(G20=MatrixImpact!$B$13,MatrixImpact!$D$13,IF(G20=MatrixImpact!$B$14,MatrixImpact!$D$14,"")))))&lt;P20,P20,IF(G20=MatrixImpact!$B$10,MatrixImpact!$D$10,IF(G20=MatrixImpact!$B$11,MatrixImpact!$D$11,IF(G20=MatrixImpact!$B$12,MatrixImpact!$D$12,IF(G20=MatrixImpact!$B$13,MatrixImpact!$D$13,IF(G20=MatrixImpact!$B$14,MatrixImpact!$D$14,""))))))</f>
        <v/>
      </c>
      <c r="R20" s="285"/>
      <c r="S20" s="283">
        <f t="shared" si="4"/>
        <v>0</v>
      </c>
      <c r="U20" s="286">
        <v>3</v>
      </c>
      <c r="V20" s="286">
        <v>4</v>
      </c>
      <c r="W20" s="287">
        <f>INDEX(MatrixImpact!C$4:C$8,MATCH($U20,MatrixImpact!$B$4:$B$8,0),1)*INDEX(MatrixImpact!C$10:C$14,MATCH($V20,MatrixImpact!$B$10:$B$14,0),1)</f>
        <v>3</v>
      </c>
      <c r="X20" s="287">
        <f>INDEX(MatrixImpact!D$4:D$8,MATCH($U20,MatrixImpact!$B$4:$B$8,0),1)*INDEX(MatrixImpact!D$10:D$14,MATCH($V20,MatrixImpact!$B$10:$B$14,0),1)</f>
        <v>15</v>
      </c>
      <c r="Y20" s="34" t="b">
        <f t="shared" si="5"/>
        <v>0</v>
      </c>
      <c r="AA20" s="284"/>
      <c r="AB20" s="280">
        <f t="shared" si="6"/>
        <v>0.14999999999999969</v>
      </c>
      <c r="AC20" s="283">
        <f t="shared" si="7"/>
        <v>0</v>
      </c>
      <c r="AD20" s="283"/>
      <c r="AE20" s="283"/>
      <c r="AG20" s="21" t="s">
        <v>739</v>
      </c>
      <c r="AH20" s="21" t="s">
        <v>740</v>
      </c>
    </row>
    <row r="21" spans="2:34" ht="15" customHeight="1" x14ac:dyDescent="0.25">
      <c r="B21" s="288">
        <v>19</v>
      </c>
      <c r="C21" s="289"/>
      <c r="D21" s="290"/>
      <c r="E21" s="291" t="str">
        <f ca="1">RiskList!A20&amp;": "&amp;RiskList!B20</f>
        <v xml:space="preserve">Company 119: </v>
      </c>
      <c r="F21" s="276" t="str">
        <f ca="1">IF($L21=0%,"",IF(AND($L21&gt;MatrixImpact!$C$8,$L21&lt;=MatrixImpact!$D$8),5,IF(AND($L21&gt;MatrixImpact!$C$7,$L21&lt;=MatrixImpact!$D$7),4,IF(AND($L21&gt;MatrixImpact!$C$6,$L21&lt;=MatrixImpact!$D$6),3,IF(AND($L21&gt;MatrixImpact!$C$5,$L21&lt;=MatrixImpact!$D$5),2,IF(AND($L21&gt;MatrixImpact!$C$4,$L21&lt;=MatrixImpact!$D$4),1,""))))))</f>
        <v/>
      </c>
      <c r="G21" s="292" t="str">
        <f ca="1">IF($P21&gt;MatrixImpact!$C$14,5,IF(AND($P21&gt;MatrixImpact!$C$13,$P21&lt;=MatrixImpact!$D$13),4,IF(AND($P21&gt;MatrixImpact!$C$12,$P21&lt;=MatrixImpact!$D$12),3,IF(AND($P21&gt;MatrixImpact!$C$11,$P21&lt;=MatrixImpact!$D$11),2,IF(AND($P21&gt;MatrixImpact!$C$10,$P21&lt;=MatrixImpact!$D$10),1,"")))))</f>
        <v/>
      </c>
      <c r="H21" s="293">
        <f t="shared" ca="1" si="0"/>
        <v>0</v>
      </c>
      <c r="J21" s="279">
        <f t="shared" si="1"/>
        <v>19</v>
      </c>
      <c r="K21" s="280" t="str">
        <f ca="1">IF(F21=MatrixImpact!$B$4,MatrixImpact!$C$4,IF(F21=MatrixImpact!$B$5,MatrixImpact!$C$5,IF(F21=MatrixImpact!$B$6,MatrixImpact!$C$6,IF(F21=MatrixImpact!$B$7,MatrixImpact!$C$7,IF(F21=MatrixImpact!$B$8,MatrixImpact!$C$8,"")))))</f>
        <v/>
      </c>
      <c r="L21" s="281">
        <f t="shared" ca="1" si="2"/>
        <v>0</v>
      </c>
      <c r="M21" s="280" t="str">
        <f ca="1">IF(F21=MatrixImpact!$B$4,MatrixImpact!$D$4,IF(F21=MatrixImpact!$B$5,MatrixImpact!$D$5,IF(F21=MatrixImpact!$B$6,MatrixImpact!$D$6,IF(F21=MatrixImpact!$B$7,MatrixImpact!$D$7,IF(F21=MatrixImpact!$B$8,MatrixImpact!$D$8,"")))))</f>
        <v/>
      </c>
      <c r="N21" s="282"/>
      <c r="O21" s="283" t="str">
        <f ca="1">IF(G21=MatrixImpact!$B$10,MatrixImpact!$C$10,IF(G21=MatrixImpact!$B$11,MatrixImpact!$C$11,IF(G21=MatrixImpact!$B$12,MatrixImpact!$C$12,IF(G21=MatrixImpact!$B$13,MatrixImpact!$C$13,IF(G21=MatrixImpact!$B$14,MatrixImpact!$C$14,"")))))</f>
        <v/>
      </c>
      <c r="P21" s="284">
        <f t="shared" ca="1" si="3"/>
        <v>0</v>
      </c>
      <c r="Q21" s="283" t="str">
        <f ca="1">IF(IF(G21=MatrixImpact!$B$10,MatrixImpact!$D$10,IF(G21=MatrixImpact!$B$11,MatrixImpact!$D$11,IF(G21=MatrixImpact!$B$12,MatrixImpact!$D$12,IF(G21=MatrixImpact!$B$13,MatrixImpact!$D$13,IF(G21=MatrixImpact!$B$14,MatrixImpact!$D$14,"")))))&lt;P21,P21,IF(G21=MatrixImpact!$B$10,MatrixImpact!$D$10,IF(G21=MatrixImpact!$B$11,MatrixImpact!$D$11,IF(G21=MatrixImpact!$B$12,MatrixImpact!$D$12,IF(G21=MatrixImpact!$B$13,MatrixImpact!$D$13,IF(G21=MatrixImpact!$B$14,MatrixImpact!$D$14,""))))))</f>
        <v/>
      </c>
      <c r="R21" s="285"/>
      <c r="S21" s="283">
        <f t="shared" si="4"/>
        <v>0</v>
      </c>
      <c r="U21" s="286">
        <v>4</v>
      </c>
      <c r="V21" s="286">
        <v>4</v>
      </c>
      <c r="W21" s="287">
        <f>INDEX(MatrixImpact!C$4:C$8,MATCH($U21,MatrixImpact!$B$4:$B$8,0),1)*INDEX(MatrixImpact!C$10:C$14,MATCH($V21,MatrixImpact!$B$10:$B$14,0),1)</f>
        <v>5</v>
      </c>
      <c r="X21" s="287">
        <f>INDEX(MatrixImpact!D$4:D$8,MATCH($U21,MatrixImpact!$B$4:$B$8,0),1)*INDEX(MatrixImpact!D$10:D$14,MATCH($V21,MatrixImpact!$B$10:$B$14,0),1)</f>
        <v>27</v>
      </c>
      <c r="Y21" s="34" t="b">
        <f t="shared" si="5"/>
        <v>0</v>
      </c>
      <c r="AA21" s="284"/>
      <c r="AB21" s="280">
        <f t="shared" si="6"/>
        <v>9.9999999999999686E-2</v>
      </c>
      <c r="AC21" s="283">
        <f t="shared" si="7"/>
        <v>0</v>
      </c>
      <c r="AD21" s="283"/>
      <c r="AE21" s="283"/>
      <c r="AG21" s="21" t="s">
        <v>741</v>
      </c>
      <c r="AH21" s="21" t="s">
        <v>742</v>
      </c>
    </row>
    <row r="22" spans="2:34" ht="15" customHeight="1" x14ac:dyDescent="0.25">
      <c r="B22" s="288">
        <v>20</v>
      </c>
      <c r="C22" s="289"/>
      <c r="D22" s="290"/>
      <c r="E22" s="291" t="str">
        <f ca="1">RiskList!A21&amp;": "&amp;RiskList!B21</f>
        <v xml:space="preserve">Company 120: </v>
      </c>
      <c r="F22" s="276" t="str">
        <f ca="1">IF($L22=0%,"",IF(AND($L22&gt;MatrixImpact!$C$8,$L22&lt;=MatrixImpact!$D$8),5,IF(AND($L22&gt;MatrixImpact!$C$7,$L22&lt;=MatrixImpact!$D$7),4,IF(AND($L22&gt;MatrixImpact!$C$6,$L22&lt;=MatrixImpact!$D$6),3,IF(AND($L22&gt;MatrixImpact!$C$5,$L22&lt;=MatrixImpact!$D$5),2,IF(AND($L22&gt;MatrixImpact!$C$4,$L22&lt;=MatrixImpact!$D$4),1,""))))))</f>
        <v/>
      </c>
      <c r="G22" s="292" t="str">
        <f ca="1">IF($P22&gt;MatrixImpact!$C$14,5,IF(AND($P22&gt;MatrixImpact!$C$13,$P22&lt;=MatrixImpact!$D$13),4,IF(AND($P22&gt;MatrixImpact!$C$12,$P22&lt;=MatrixImpact!$D$12),3,IF(AND($P22&gt;MatrixImpact!$C$11,$P22&lt;=MatrixImpact!$D$11),2,IF(AND($P22&gt;MatrixImpact!$C$10,$P22&lt;=MatrixImpact!$D$10),1,"")))))</f>
        <v/>
      </c>
      <c r="H22" s="293">
        <f t="shared" ca="1" si="0"/>
        <v>0</v>
      </c>
      <c r="J22" s="279">
        <f t="shared" si="1"/>
        <v>20</v>
      </c>
      <c r="K22" s="280" t="str">
        <f ca="1">IF(F22=MatrixImpact!$B$4,MatrixImpact!$C$4,IF(F22=MatrixImpact!$B$5,MatrixImpact!$C$5,IF(F22=MatrixImpact!$B$6,MatrixImpact!$C$6,IF(F22=MatrixImpact!$B$7,MatrixImpact!$C$7,IF(F22=MatrixImpact!$B$8,MatrixImpact!$C$8,"")))))</f>
        <v/>
      </c>
      <c r="L22" s="281">
        <f t="shared" ca="1" si="2"/>
        <v>0</v>
      </c>
      <c r="M22" s="280" t="str">
        <f ca="1">IF(F22=MatrixImpact!$B$4,MatrixImpact!$D$4,IF(F22=MatrixImpact!$B$5,MatrixImpact!$D$5,IF(F22=MatrixImpact!$B$6,MatrixImpact!$D$6,IF(F22=MatrixImpact!$B$7,MatrixImpact!$D$7,IF(F22=MatrixImpact!$B$8,MatrixImpact!$D$8,"")))))</f>
        <v/>
      </c>
      <c r="N22" s="282"/>
      <c r="O22" s="283" t="str">
        <f ca="1">IF(G22=MatrixImpact!$B$10,MatrixImpact!$C$10,IF(G22=MatrixImpact!$B$11,MatrixImpact!$C$11,IF(G22=MatrixImpact!$B$12,MatrixImpact!$C$12,IF(G22=MatrixImpact!$B$13,MatrixImpact!$C$13,IF(G22=MatrixImpact!$B$14,MatrixImpact!$C$14,"")))))</f>
        <v/>
      </c>
      <c r="P22" s="284">
        <f t="shared" ca="1" si="3"/>
        <v>0</v>
      </c>
      <c r="Q22" s="283" t="str">
        <f ca="1">IF(IF(G22=MatrixImpact!$B$10,MatrixImpact!$D$10,IF(G22=MatrixImpact!$B$11,MatrixImpact!$D$11,IF(G22=MatrixImpact!$B$12,MatrixImpact!$D$12,IF(G22=MatrixImpact!$B$13,MatrixImpact!$D$13,IF(G22=MatrixImpact!$B$14,MatrixImpact!$D$14,"")))))&lt;P22,P22,IF(G22=MatrixImpact!$B$10,MatrixImpact!$D$10,IF(G22=MatrixImpact!$B$11,MatrixImpact!$D$11,IF(G22=MatrixImpact!$B$12,MatrixImpact!$D$12,IF(G22=MatrixImpact!$B$13,MatrixImpact!$D$13,IF(G22=MatrixImpact!$B$14,MatrixImpact!$D$14,""))))))</f>
        <v/>
      </c>
      <c r="R22" s="285"/>
      <c r="S22" s="283">
        <f t="shared" si="4"/>
        <v>0</v>
      </c>
      <c r="U22" s="286">
        <v>5</v>
      </c>
      <c r="V22" s="286">
        <v>4</v>
      </c>
      <c r="W22" s="287">
        <f>INDEX(MatrixImpact!C$4:C$8,MATCH($U22,MatrixImpact!$B$4:$B$8,0),1)*INDEX(MatrixImpact!C$10:C$14,MATCH($V22,MatrixImpact!$B$10:$B$14,0),1)</f>
        <v>9</v>
      </c>
      <c r="X22" s="287">
        <f>INDEX(MatrixImpact!D$4:D$8,MATCH($U22,MatrixImpact!$B$4:$B$8,0),1)*INDEX(MatrixImpact!D$10:D$14,MATCH($V22,MatrixImpact!$B$10:$B$14,0),1)</f>
        <v>30</v>
      </c>
      <c r="Y22" s="34" t="b">
        <f t="shared" si="5"/>
        <v>0</v>
      </c>
      <c r="AA22" s="284"/>
      <c r="AB22" s="280">
        <f t="shared" si="6"/>
        <v>4.9999999999999684E-2</v>
      </c>
      <c r="AC22" s="283">
        <f t="shared" si="7"/>
        <v>0</v>
      </c>
      <c r="AD22" s="283"/>
      <c r="AE22" s="283"/>
      <c r="AG22" s="21" t="s">
        <v>743</v>
      </c>
      <c r="AH22" s="21" t="s">
        <v>744</v>
      </c>
    </row>
    <row r="23" spans="2:34" ht="15" customHeight="1" x14ac:dyDescent="0.25">
      <c r="B23" s="288">
        <v>21</v>
      </c>
      <c r="C23" s="289"/>
      <c r="D23" s="290"/>
      <c r="E23" s="291" t="str">
        <f ca="1">RiskList!A22&amp;": "&amp;RiskList!B22</f>
        <v xml:space="preserve">Company 121: </v>
      </c>
      <c r="F23" s="276" t="str">
        <f ca="1">IF($L23=0%,"",IF(AND($L23&gt;MatrixImpact!$C$8,$L23&lt;=MatrixImpact!$D$8),5,IF(AND($L23&gt;MatrixImpact!$C$7,$L23&lt;=MatrixImpact!$D$7),4,IF(AND($L23&gt;MatrixImpact!$C$6,$L23&lt;=MatrixImpact!$D$6),3,IF(AND($L23&gt;MatrixImpact!$C$5,$L23&lt;=MatrixImpact!$D$5),2,IF(AND($L23&gt;MatrixImpact!$C$4,$L23&lt;=MatrixImpact!$D$4),1,""))))))</f>
        <v/>
      </c>
      <c r="G23" s="292" t="str">
        <f ca="1">IF($P23&gt;MatrixImpact!$C$14,5,IF(AND($P23&gt;MatrixImpact!$C$13,$P23&lt;=MatrixImpact!$D$13),4,IF(AND($P23&gt;MatrixImpact!$C$12,$P23&lt;=MatrixImpact!$D$12),3,IF(AND($P23&gt;MatrixImpact!$C$11,$P23&lt;=MatrixImpact!$D$11),2,IF(AND($P23&gt;MatrixImpact!$C$10,$P23&lt;=MatrixImpact!$D$10),1,"")))))</f>
        <v/>
      </c>
      <c r="H23" s="293">
        <f t="shared" ca="1" si="0"/>
        <v>0</v>
      </c>
      <c r="J23" s="279">
        <f t="shared" si="1"/>
        <v>21</v>
      </c>
      <c r="K23" s="280" t="str">
        <f ca="1">IF(F23=MatrixImpact!$B$4,MatrixImpact!$C$4,IF(F23=MatrixImpact!$B$5,MatrixImpact!$C$5,IF(F23=MatrixImpact!$B$6,MatrixImpact!$C$6,IF(F23=MatrixImpact!$B$7,MatrixImpact!$C$7,IF(F23=MatrixImpact!$B$8,MatrixImpact!$C$8,"")))))</f>
        <v/>
      </c>
      <c r="L23" s="281">
        <f t="shared" ca="1" si="2"/>
        <v>0</v>
      </c>
      <c r="M23" s="280" t="str">
        <f ca="1">IF(F23=MatrixImpact!$B$4,MatrixImpact!$D$4,IF(F23=MatrixImpact!$B$5,MatrixImpact!$D$5,IF(F23=MatrixImpact!$B$6,MatrixImpact!$D$6,IF(F23=MatrixImpact!$B$7,MatrixImpact!$D$7,IF(F23=MatrixImpact!$B$8,MatrixImpact!$D$8,"")))))</f>
        <v/>
      </c>
      <c r="N23" s="282"/>
      <c r="O23" s="283" t="str">
        <f ca="1">IF(G23=MatrixImpact!$B$10,MatrixImpact!$C$10,IF(G23=MatrixImpact!$B$11,MatrixImpact!$C$11,IF(G23=MatrixImpact!$B$12,MatrixImpact!$C$12,IF(G23=MatrixImpact!$B$13,MatrixImpact!$C$13,IF(G23=MatrixImpact!$B$14,MatrixImpact!$C$14,"")))))</f>
        <v/>
      </c>
      <c r="P23" s="284">
        <f t="shared" ca="1" si="3"/>
        <v>0</v>
      </c>
      <c r="Q23" s="283" t="str">
        <f ca="1">IF(IF(G23=MatrixImpact!$B$10,MatrixImpact!$D$10,IF(G23=MatrixImpact!$B$11,MatrixImpact!$D$11,IF(G23=MatrixImpact!$B$12,MatrixImpact!$D$12,IF(G23=MatrixImpact!$B$13,MatrixImpact!$D$13,IF(G23=MatrixImpact!$B$14,MatrixImpact!$D$14,"")))))&lt;P23,P23,IF(G23=MatrixImpact!$B$10,MatrixImpact!$D$10,IF(G23=MatrixImpact!$B$11,MatrixImpact!$D$11,IF(G23=MatrixImpact!$B$12,MatrixImpact!$D$12,IF(G23=MatrixImpact!$B$13,MatrixImpact!$D$13,IF(G23=MatrixImpact!$B$14,MatrixImpact!$D$14,""))))))</f>
        <v/>
      </c>
      <c r="R23" s="285"/>
      <c r="S23" s="283">
        <f t="shared" si="4"/>
        <v>0</v>
      </c>
      <c r="U23" s="286">
        <v>1</v>
      </c>
      <c r="V23" s="286">
        <v>5</v>
      </c>
      <c r="W23" s="287">
        <f>INDEX(MatrixImpact!C$4:C$8,MATCH($U23,MatrixImpact!$B$4:$B$8,0),1)*INDEX(MatrixImpact!C$10:C$14,MATCH($V23,MatrixImpact!$B$10:$B$14,0),1)</f>
        <v>0</v>
      </c>
      <c r="X23" s="287">
        <f>INDEX(MatrixImpact!D$4:D$8,MATCH($U23,MatrixImpact!$B$4:$B$8,0),1)*INDEX(MatrixImpact!D$10:D$14,MATCH($V23,MatrixImpact!$B$10:$B$14,0),1)</f>
        <v>7</v>
      </c>
      <c r="Y23" s="34" t="b">
        <f t="shared" si="5"/>
        <v>1</v>
      </c>
      <c r="AA23" s="283"/>
      <c r="AB23" s="280"/>
      <c r="AC23" s="283"/>
      <c r="AD23" s="283"/>
      <c r="AE23" s="283"/>
      <c r="AG23" s="21" t="s">
        <v>745</v>
      </c>
      <c r="AH23" s="21" t="s">
        <v>746</v>
      </c>
    </row>
    <row r="24" spans="2:34" ht="15" customHeight="1" x14ac:dyDescent="0.25">
      <c r="B24" s="288">
        <v>22</v>
      </c>
      <c r="C24" s="289"/>
      <c r="D24" s="290"/>
      <c r="E24" s="291" t="str">
        <f ca="1">RiskList!A23&amp;": "&amp;RiskList!B23</f>
        <v xml:space="preserve">Company 122: </v>
      </c>
      <c r="F24" s="276" t="str">
        <f ca="1">IF($L24=0%,"",IF(AND($L24&gt;MatrixImpact!$C$8,$L24&lt;=MatrixImpact!$D$8),5,IF(AND($L24&gt;MatrixImpact!$C$7,$L24&lt;=MatrixImpact!$D$7),4,IF(AND($L24&gt;MatrixImpact!$C$6,$L24&lt;=MatrixImpact!$D$6),3,IF(AND($L24&gt;MatrixImpact!$C$5,$L24&lt;=MatrixImpact!$D$5),2,IF(AND($L24&gt;MatrixImpact!$C$4,$L24&lt;=MatrixImpact!$D$4),1,""))))))</f>
        <v/>
      </c>
      <c r="G24" s="292" t="str">
        <f ca="1">IF($P24&gt;MatrixImpact!$C$14,5,IF(AND($P24&gt;MatrixImpact!$C$13,$P24&lt;=MatrixImpact!$D$13),4,IF(AND($P24&gt;MatrixImpact!$C$12,$P24&lt;=MatrixImpact!$D$12),3,IF(AND($P24&gt;MatrixImpact!$C$11,$P24&lt;=MatrixImpact!$D$11),2,IF(AND($P24&gt;MatrixImpact!$C$10,$P24&lt;=MatrixImpact!$D$10),1,"")))))</f>
        <v/>
      </c>
      <c r="H24" s="293">
        <f t="shared" ca="1" si="0"/>
        <v>0</v>
      </c>
      <c r="J24" s="279">
        <f t="shared" si="1"/>
        <v>22</v>
      </c>
      <c r="K24" s="280" t="str">
        <f ca="1">IF(F24=MatrixImpact!$B$4,MatrixImpact!$C$4,IF(F24=MatrixImpact!$B$5,MatrixImpact!$C$5,IF(F24=MatrixImpact!$B$6,MatrixImpact!$C$6,IF(F24=MatrixImpact!$B$7,MatrixImpact!$C$7,IF(F24=MatrixImpact!$B$8,MatrixImpact!$C$8,"")))))</f>
        <v/>
      </c>
      <c r="L24" s="281">
        <f t="shared" ca="1" si="2"/>
        <v>0</v>
      </c>
      <c r="M24" s="280" t="str">
        <f ca="1">IF(F24=MatrixImpact!$B$4,MatrixImpact!$D$4,IF(F24=MatrixImpact!$B$5,MatrixImpact!$D$5,IF(F24=MatrixImpact!$B$6,MatrixImpact!$D$6,IF(F24=MatrixImpact!$B$7,MatrixImpact!$D$7,IF(F24=MatrixImpact!$B$8,MatrixImpact!$D$8,"")))))</f>
        <v/>
      </c>
      <c r="N24" s="282"/>
      <c r="O24" s="283" t="str">
        <f ca="1">IF(G24=MatrixImpact!$B$10,MatrixImpact!$C$10,IF(G24=MatrixImpact!$B$11,MatrixImpact!$C$11,IF(G24=MatrixImpact!$B$12,MatrixImpact!$C$12,IF(G24=MatrixImpact!$B$13,MatrixImpact!$C$13,IF(G24=MatrixImpact!$B$14,MatrixImpact!$C$14,"")))))</f>
        <v/>
      </c>
      <c r="P24" s="284">
        <f t="shared" ca="1" si="3"/>
        <v>0</v>
      </c>
      <c r="Q24" s="283" t="str">
        <f ca="1">IF(IF(G24=MatrixImpact!$B$10,MatrixImpact!$D$10,IF(G24=MatrixImpact!$B$11,MatrixImpact!$D$11,IF(G24=MatrixImpact!$B$12,MatrixImpact!$D$12,IF(G24=MatrixImpact!$B$13,MatrixImpact!$D$13,IF(G24=MatrixImpact!$B$14,MatrixImpact!$D$14,"")))))&lt;P24,P24,IF(G24=MatrixImpact!$B$10,MatrixImpact!$D$10,IF(G24=MatrixImpact!$B$11,MatrixImpact!$D$11,IF(G24=MatrixImpact!$B$12,MatrixImpact!$D$12,IF(G24=MatrixImpact!$B$13,MatrixImpact!$D$13,IF(G24=MatrixImpact!$B$14,MatrixImpact!$D$14,""))))))</f>
        <v/>
      </c>
      <c r="R24" s="285"/>
      <c r="S24" s="283">
        <f t="shared" si="4"/>
        <v>0</v>
      </c>
      <c r="U24" s="286">
        <v>2</v>
      </c>
      <c r="V24" s="286">
        <v>5</v>
      </c>
      <c r="W24" s="287">
        <f>INDEX(MatrixImpact!C$4:C$8,MATCH($U24,MatrixImpact!$B$4:$B$8,0),1)*INDEX(MatrixImpact!C$10:C$14,MATCH($V24,MatrixImpact!$B$10:$B$14,0),1)</f>
        <v>3</v>
      </c>
      <c r="X24" s="287">
        <f>INDEX(MatrixImpact!D$4:D$8,MATCH($U24,MatrixImpact!$B$4:$B$8,0),1)*INDEX(MatrixImpact!D$10:D$14,MATCH($V24,MatrixImpact!$B$10:$B$14,0),1)</f>
        <v>21</v>
      </c>
      <c r="Y24" s="34" t="b">
        <f t="shared" si="5"/>
        <v>0</v>
      </c>
      <c r="AG24" s="21" t="s">
        <v>747</v>
      </c>
      <c r="AH24" s="21" t="s">
        <v>748</v>
      </c>
    </row>
    <row r="25" spans="2:34" ht="15" customHeight="1" x14ac:dyDescent="0.25">
      <c r="B25" s="288">
        <v>23</v>
      </c>
      <c r="C25" s="289"/>
      <c r="D25" s="290"/>
      <c r="E25" s="291" t="str">
        <f ca="1">RiskList!A24&amp;": "&amp;RiskList!B24</f>
        <v xml:space="preserve">Company 123: </v>
      </c>
      <c r="F25" s="276" t="str">
        <f ca="1">IF($L25=0%,"",IF(AND($L25&gt;MatrixImpact!$C$8,$L25&lt;=MatrixImpact!$D$8),5,IF(AND($L25&gt;MatrixImpact!$C$7,$L25&lt;=MatrixImpact!$D$7),4,IF(AND($L25&gt;MatrixImpact!$C$6,$L25&lt;=MatrixImpact!$D$6),3,IF(AND($L25&gt;MatrixImpact!$C$5,$L25&lt;=MatrixImpact!$D$5),2,IF(AND($L25&gt;MatrixImpact!$C$4,$L25&lt;=MatrixImpact!$D$4),1,""))))))</f>
        <v/>
      </c>
      <c r="G25" s="292" t="str">
        <f ca="1">IF($P25&gt;MatrixImpact!$C$14,5,IF(AND($P25&gt;MatrixImpact!$C$13,$P25&lt;=MatrixImpact!$D$13),4,IF(AND($P25&gt;MatrixImpact!$C$12,$P25&lt;=MatrixImpact!$D$12),3,IF(AND($P25&gt;MatrixImpact!$C$11,$P25&lt;=MatrixImpact!$D$11),2,IF(AND($P25&gt;MatrixImpact!$C$10,$P25&lt;=MatrixImpact!$D$10),1,"")))))</f>
        <v/>
      </c>
      <c r="H25" s="293">
        <f t="shared" ca="1" si="0"/>
        <v>0</v>
      </c>
      <c r="J25" s="279">
        <f t="shared" si="1"/>
        <v>23</v>
      </c>
      <c r="K25" s="280" t="str">
        <f ca="1">IF(F25=MatrixImpact!$B$4,MatrixImpact!$C$4,IF(F25=MatrixImpact!$B$5,MatrixImpact!$C$5,IF(F25=MatrixImpact!$B$6,MatrixImpact!$C$6,IF(F25=MatrixImpact!$B$7,MatrixImpact!$C$7,IF(F25=MatrixImpact!$B$8,MatrixImpact!$C$8,"")))))</f>
        <v/>
      </c>
      <c r="L25" s="281">
        <f t="shared" ca="1" si="2"/>
        <v>0</v>
      </c>
      <c r="M25" s="280" t="str">
        <f ca="1">IF(F25=MatrixImpact!$B$4,MatrixImpact!$D$4,IF(F25=MatrixImpact!$B$5,MatrixImpact!$D$5,IF(F25=MatrixImpact!$B$6,MatrixImpact!$D$6,IF(F25=MatrixImpact!$B$7,MatrixImpact!$D$7,IF(F25=MatrixImpact!$B$8,MatrixImpact!$D$8,"")))))</f>
        <v/>
      </c>
      <c r="N25" s="282"/>
      <c r="O25" s="283" t="str">
        <f ca="1">IF(G25=MatrixImpact!$B$10,MatrixImpact!$C$10,IF(G25=MatrixImpact!$B$11,MatrixImpact!$C$11,IF(G25=MatrixImpact!$B$12,MatrixImpact!$C$12,IF(G25=MatrixImpact!$B$13,MatrixImpact!$C$13,IF(G25=MatrixImpact!$B$14,MatrixImpact!$C$14,"")))))</f>
        <v/>
      </c>
      <c r="P25" s="284">
        <f t="shared" ca="1" si="3"/>
        <v>0</v>
      </c>
      <c r="Q25" s="283" t="str">
        <f ca="1">IF(IF(G25=MatrixImpact!$B$10,MatrixImpact!$D$10,IF(G25=MatrixImpact!$B$11,MatrixImpact!$D$11,IF(G25=MatrixImpact!$B$12,MatrixImpact!$D$12,IF(G25=MatrixImpact!$B$13,MatrixImpact!$D$13,IF(G25=MatrixImpact!$B$14,MatrixImpact!$D$14,"")))))&lt;P25,P25,IF(G25=MatrixImpact!$B$10,MatrixImpact!$D$10,IF(G25=MatrixImpact!$B$11,MatrixImpact!$D$11,IF(G25=MatrixImpact!$B$12,MatrixImpact!$D$12,IF(G25=MatrixImpact!$B$13,MatrixImpact!$D$13,IF(G25=MatrixImpact!$B$14,MatrixImpact!$D$14,""))))))</f>
        <v/>
      </c>
      <c r="R25" s="285"/>
      <c r="S25" s="283">
        <f t="shared" si="4"/>
        <v>0</v>
      </c>
      <c r="U25" s="286">
        <v>3</v>
      </c>
      <c r="V25" s="286">
        <v>5</v>
      </c>
      <c r="W25" s="287">
        <f>INDEX(MatrixImpact!C$4:C$8,MATCH($U25,MatrixImpact!$B$4:$B$8,0),1)*INDEX(MatrixImpact!C$10:C$14,MATCH($V25,MatrixImpact!$B$10:$B$14,0),1)</f>
        <v>9</v>
      </c>
      <c r="X25" s="287">
        <f>INDEX(MatrixImpact!D$4:D$8,MATCH($U25,MatrixImpact!$B$4:$B$8,0),1)*INDEX(MatrixImpact!D$10:D$14,MATCH($V25,MatrixImpact!$B$10:$B$14,0),1)</f>
        <v>35</v>
      </c>
      <c r="Y25" s="34" t="b">
        <f t="shared" si="5"/>
        <v>0</v>
      </c>
      <c r="AG25" s="21" t="s">
        <v>753</v>
      </c>
      <c r="AH25" s="21" t="s">
        <v>754</v>
      </c>
    </row>
    <row r="26" spans="2:34" ht="15" customHeight="1" x14ac:dyDescent="0.25">
      <c r="B26" s="288">
        <v>24</v>
      </c>
      <c r="C26" s="289"/>
      <c r="D26" s="290"/>
      <c r="E26" s="291" t="str">
        <f ca="1">RiskList!A25&amp;": "&amp;RiskList!B25</f>
        <v xml:space="preserve">Company 124: </v>
      </c>
      <c r="F26" s="276" t="str">
        <f ca="1">IF($L26=0%,"",IF(AND($L26&gt;MatrixImpact!$C$8,$L26&lt;=MatrixImpact!$D$8),5,IF(AND($L26&gt;MatrixImpact!$C$7,$L26&lt;=MatrixImpact!$D$7),4,IF(AND($L26&gt;MatrixImpact!$C$6,$L26&lt;=MatrixImpact!$D$6),3,IF(AND($L26&gt;MatrixImpact!$C$5,$L26&lt;=MatrixImpact!$D$5),2,IF(AND($L26&gt;MatrixImpact!$C$4,$L26&lt;=MatrixImpact!$D$4),1,""))))))</f>
        <v/>
      </c>
      <c r="G26" s="292" t="str">
        <f ca="1">IF($P26&gt;MatrixImpact!$C$14,5,IF(AND($P26&gt;MatrixImpact!$C$13,$P26&lt;=MatrixImpact!$D$13),4,IF(AND($P26&gt;MatrixImpact!$C$12,$P26&lt;=MatrixImpact!$D$12),3,IF(AND($P26&gt;MatrixImpact!$C$11,$P26&lt;=MatrixImpact!$D$11),2,IF(AND($P26&gt;MatrixImpact!$C$10,$P26&lt;=MatrixImpact!$D$10),1,"")))))</f>
        <v/>
      </c>
      <c r="H26" s="293">
        <f t="shared" ca="1" si="0"/>
        <v>0</v>
      </c>
      <c r="J26" s="279">
        <f t="shared" si="1"/>
        <v>24</v>
      </c>
      <c r="K26" s="280" t="str">
        <f ca="1">IF(F26=MatrixImpact!$B$4,MatrixImpact!$C$4,IF(F26=MatrixImpact!$B$5,MatrixImpact!$C$5,IF(F26=MatrixImpact!$B$6,MatrixImpact!$C$6,IF(F26=MatrixImpact!$B$7,MatrixImpact!$C$7,IF(F26=MatrixImpact!$B$8,MatrixImpact!$C$8,"")))))</f>
        <v/>
      </c>
      <c r="L26" s="281">
        <f t="shared" ca="1" si="2"/>
        <v>0</v>
      </c>
      <c r="M26" s="280" t="str">
        <f ca="1">IF(F26=MatrixImpact!$B$4,MatrixImpact!$D$4,IF(F26=MatrixImpact!$B$5,MatrixImpact!$D$5,IF(F26=MatrixImpact!$B$6,MatrixImpact!$D$6,IF(F26=MatrixImpact!$B$7,MatrixImpact!$D$7,IF(F26=MatrixImpact!$B$8,MatrixImpact!$D$8,"")))))</f>
        <v/>
      </c>
      <c r="N26" s="282"/>
      <c r="O26" s="283" t="str">
        <f ca="1">IF(G26=MatrixImpact!$B$10,MatrixImpact!$C$10,IF(G26=MatrixImpact!$B$11,MatrixImpact!$C$11,IF(G26=MatrixImpact!$B$12,MatrixImpact!$C$12,IF(G26=MatrixImpact!$B$13,MatrixImpact!$C$13,IF(G26=MatrixImpact!$B$14,MatrixImpact!$C$14,"")))))</f>
        <v/>
      </c>
      <c r="P26" s="284">
        <f t="shared" ca="1" si="3"/>
        <v>0</v>
      </c>
      <c r="Q26" s="283" t="str">
        <f ca="1">IF(IF(G26=MatrixImpact!$B$10,MatrixImpact!$D$10,IF(G26=MatrixImpact!$B$11,MatrixImpact!$D$11,IF(G26=MatrixImpact!$B$12,MatrixImpact!$D$12,IF(G26=MatrixImpact!$B$13,MatrixImpact!$D$13,IF(G26=MatrixImpact!$B$14,MatrixImpact!$D$14,"")))))&lt;P26,P26,IF(G26=MatrixImpact!$B$10,MatrixImpact!$D$10,IF(G26=MatrixImpact!$B$11,MatrixImpact!$D$11,IF(G26=MatrixImpact!$B$12,MatrixImpact!$D$12,IF(G26=MatrixImpact!$B$13,MatrixImpact!$D$13,IF(G26=MatrixImpact!$B$14,MatrixImpact!$D$14,""))))))</f>
        <v/>
      </c>
      <c r="R26" s="285"/>
      <c r="S26" s="283">
        <f t="shared" si="4"/>
        <v>0</v>
      </c>
      <c r="U26" s="286">
        <v>4</v>
      </c>
      <c r="V26" s="286">
        <v>5</v>
      </c>
      <c r="W26" s="287">
        <f>INDEX(MatrixImpact!C$4:C$8,MATCH($U26,MatrixImpact!$B$4:$B$8,0),1)*INDEX(MatrixImpact!C$10:C$14,MATCH($V26,MatrixImpact!$B$10:$B$14,0),1)</f>
        <v>15</v>
      </c>
      <c r="X26" s="287">
        <f>INDEX(MatrixImpact!D$4:D$8,MATCH($U26,MatrixImpact!$B$4:$B$8,0),1)*INDEX(MatrixImpact!D$10:D$14,MATCH($V26,MatrixImpact!$B$10:$B$14,0),1)</f>
        <v>63</v>
      </c>
      <c r="Y26" s="34" t="b">
        <f t="shared" si="5"/>
        <v>0</v>
      </c>
      <c r="AH26" s="21" t="s">
        <v>749</v>
      </c>
    </row>
    <row r="27" spans="2:34" ht="15" customHeight="1" x14ac:dyDescent="0.25">
      <c r="B27" s="288">
        <v>25</v>
      </c>
      <c r="C27" s="289"/>
      <c r="D27" s="290"/>
      <c r="E27" s="291" t="str">
        <f ca="1">RiskList!A26&amp;": "&amp;RiskList!B26</f>
        <v xml:space="preserve">Company 125: </v>
      </c>
      <c r="F27" s="276" t="str">
        <f ca="1">IF($L27=0%,"",IF(AND($L27&gt;MatrixImpact!$C$8,$L27&lt;=MatrixImpact!$D$8),5,IF(AND($L27&gt;MatrixImpact!$C$7,$L27&lt;=MatrixImpact!$D$7),4,IF(AND($L27&gt;MatrixImpact!$C$6,$L27&lt;=MatrixImpact!$D$6),3,IF(AND($L27&gt;MatrixImpact!$C$5,$L27&lt;=MatrixImpact!$D$5),2,IF(AND($L27&gt;MatrixImpact!$C$4,$L27&lt;=MatrixImpact!$D$4),1,""))))))</f>
        <v/>
      </c>
      <c r="G27" s="292" t="str">
        <f ca="1">IF($P27&gt;MatrixImpact!$C$14,5,IF(AND($P27&gt;MatrixImpact!$C$13,$P27&lt;=MatrixImpact!$D$13),4,IF(AND($P27&gt;MatrixImpact!$C$12,$P27&lt;=MatrixImpact!$D$12),3,IF(AND($P27&gt;MatrixImpact!$C$11,$P27&lt;=MatrixImpact!$D$11),2,IF(AND($P27&gt;MatrixImpact!$C$10,$P27&lt;=MatrixImpact!$D$10),1,"")))))</f>
        <v/>
      </c>
      <c r="H27" s="293">
        <f t="shared" ca="1" si="0"/>
        <v>0</v>
      </c>
      <c r="J27" s="279">
        <f t="shared" si="1"/>
        <v>25</v>
      </c>
      <c r="K27" s="280" t="str">
        <f ca="1">IF(F27=MatrixImpact!$B$4,MatrixImpact!$C$4,IF(F27=MatrixImpact!$B$5,MatrixImpact!$C$5,IF(F27=MatrixImpact!$B$6,MatrixImpact!$C$6,IF(F27=MatrixImpact!$B$7,MatrixImpact!$C$7,IF(F27=MatrixImpact!$B$8,MatrixImpact!$C$8,"")))))</f>
        <v/>
      </c>
      <c r="L27" s="281">
        <f t="shared" ca="1" si="2"/>
        <v>0</v>
      </c>
      <c r="M27" s="280" t="str">
        <f ca="1">IF(F27=MatrixImpact!$B$4,MatrixImpact!$D$4,IF(F27=MatrixImpact!$B$5,MatrixImpact!$D$5,IF(F27=MatrixImpact!$B$6,MatrixImpact!$D$6,IF(F27=MatrixImpact!$B$7,MatrixImpact!$D$7,IF(F27=MatrixImpact!$B$8,MatrixImpact!$D$8,"")))))</f>
        <v/>
      </c>
      <c r="N27" s="282"/>
      <c r="O27" s="283" t="str">
        <f ca="1">IF(G27=MatrixImpact!$B$10,MatrixImpact!$C$10,IF(G27=MatrixImpact!$B$11,MatrixImpact!$C$11,IF(G27=MatrixImpact!$B$12,MatrixImpact!$C$12,IF(G27=MatrixImpact!$B$13,MatrixImpact!$C$13,IF(G27=MatrixImpact!$B$14,MatrixImpact!$C$14,"")))))</f>
        <v/>
      </c>
      <c r="P27" s="284">
        <f t="shared" ca="1" si="3"/>
        <v>0</v>
      </c>
      <c r="Q27" s="283" t="str">
        <f ca="1">IF(IF(G27=MatrixImpact!$B$10,MatrixImpact!$D$10,IF(G27=MatrixImpact!$B$11,MatrixImpact!$D$11,IF(G27=MatrixImpact!$B$12,MatrixImpact!$D$12,IF(G27=MatrixImpact!$B$13,MatrixImpact!$D$13,IF(G27=MatrixImpact!$B$14,MatrixImpact!$D$14,"")))))&lt;P27,P27,IF(G27=MatrixImpact!$B$10,MatrixImpact!$D$10,IF(G27=MatrixImpact!$B$11,MatrixImpact!$D$11,IF(G27=MatrixImpact!$B$12,MatrixImpact!$D$12,IF(G27=MatrixImpact!$B$13,MatrixImpact!$D$13,IF(G27=MatrixImpact!$B$14,MatrixImpact!$D$14,""))))))</f>
        <v/>
      </c>
      <c r="R27" s="285"/>
      <c r="S27" s="283">
        <f t="shared" si="4"/>
        <v>0</v>
      </c>
      <c r="U27" s="286">
        <v>5</v>
      </c>
      <c r="V27" s="286">
        <v>5</v>
      </c>
      <c r="W27" s="287">
        <f>INDEX(MatrixImpact!C$4:C$8,MATCH($U27,MatrixImpact!$B$4:$B$8,0),1)*INDEX(MatrixImpact!C$10:C$14,MATCH($V27,MatrixImpact!$B$10:$B$14,0),1)</f>
        <v>27</v>
      </c>
      <c r="X27" s="287">
        <f>INDEX(MatrixImpact!D$4:D$8,MATCH($U27,MatrixImpact!$B$4:$B$8,0),1)*INDEX(MatrixImpact!D$10:D$14,MATCH($V27,MatrixImpact!$B$10:$B$14,0),1)</f>
        <v>70</v>
      </c>
      <c r="Y27" s="34" t="b">
        <f t="shared" si="5"/>
        <v>0</v>
      </c>
      <c r="AG27" s="21"/>
      <c r="AH27" s="21" t="s">
        <v>750</v>
      </c>
    </row>
    <row r="28" spans="2:34" ht="15" customHeight="1" x14ac:dyDescent="0.25">
      <c r="B28" s="288">
        <v>26</v>
      </c>
      <c r="C28" s="289"/>
      <c r="D28" s="290"/>
      <c r="E28" s="291" t="str">
        <f ca="1">RiskList!A27&amp;": "&amp;RiskList!B27</f>
        <v xml:space="preserve">Company 126: </v>
      </c>
      <c r="F28" s="276" t="str">
        <f ca="1">IF($L28=0%,"",IF(AND($L28&gt;MatrixImpact!$C$8,$L28&lt;=MatrixImpact!$D$8),5,IF(AND($L28&gt;MatrixImpact!$C$7,$L28&lt;=MatrixImpact!$D$7),4,IF(AND($L28&gt;MatrixImpact!$C$6,$L28&lt;=MatrixImpact!$D$6),3,IF(AND($L28&gt;MatrixImpact!$C$5,$L28&lt;=MatrixImpact!$D$5),2,IF(AND($L28&gt;MatrixImpact!$C$4,$L28&lt;=MatrixImpact!$D$4),1,""))))))</f>
        <v/>
      </c>
      <c r="G28" s="292" t="str">
        <f ca="1">IF($P28&gt;MatrixImpact!$C$14,5,IF(AND($P28&gt;MatrixImpact!$C$13,$P28&lt;=MatrixImpact!$D$13),4,IF(AND($P28&gt;MatrixImpact!$C$12,$P28&lt;=MatrixImpact!$D$12),3,IF(AND($P28&gt;MatrixImpact!$C$11,$P28&lt;=MatrixImpact!$D$11),2,IF(AND($P28&gt;MatrixImpact!$C$10,$P28&lt;=MatrixImpact!$D$10),1,"")))))</f>
        <v/>
      </c>
      <c r="H28" s="293">
        <f t="shared" ca="1" si="0"/>
        <v>0</v>
      </c>
      <c r="J28" s="279">
        <f t="shared" si="1"/>
        <v>26</v>
      </c>
      <c r="K28" s="280" t="str">
        <f ca="1">IF(F28=MatrixImpact!$B$4,MatrixImpact!$C$4,IF(F28=MatrixImpact!$B$5,MatrixImpact!$C$5,IF(F28=MatrixImpact!$B$6,MatrixImpact!$C$6,IF(F28=MatrixImpact!$B$7,MatrixImpact!$C$7,IF(F28=MatrixImpact!$B$8,MatrixImpact!$C$8,"")))))</f>
        <v/>
      </c>
      <c r="L28" s="281">
        <f t="shared" ca="1" si="2"/>
        <v>0</v>
      </c>
      <c r="M28" s="280" t="str">
        <f ca="1">IF(F28=MatrixImpact!$B$4,MatrixImpact!$D$4,IF(F28=MatrixImpact!$B$5,MatrixImpact!$D$5,IF(F28=MatrixImpact!$B$6,MatrixImpact!$D$6,IF(F28=MatrixImpact!$B$7,MatrixImpact!$D$7,IF(F28=MatrixImpact!$B$8,MatrixImpact!$D$8,"")))))</f>
        <v/>
      </c>
      <c r="N28" s="282"/>
      <c r="O28" s="283" t="str">
        <f ca="1">IF(G28=MatrixImpact!$B$10,MatrixImpact!$C$10,IF(G28=MatrixImpact!$B$11,MatrixImpact!$C$11,IF(G28=MatrixImpact!$B$12,MatrixImpact!$C$12,IF(G28=MatrixImpact!$B$13,MatrixImpact!$C$13,IF(G28=MatrixImpact!$B$14,MatrixImpact!$C$14,"")))))</f>
        <v/>
      </c>
      <c r="P28" s="284">
        <f t="shared" ca="1" si="3"/>
        <v>0</v>
      </c>
      <c r="Q28" s="283" t="str">
        <f ca="1">IF(IF(G28=MatrixImpact!$B$10,MatrixImpact!$D$10,IF(G28=MatrixImpact!$B$11,MatrixImpact!$D$11,IF(G28=MatrixImpact!$B$12,MatrixImpact!$D$12,IF(G28=MatrixImpact!$B$13,MatrixImpact!$D$13,IF(G28=MatrixImpact!$B$14,MatrixImpact!$D$14,"")))))&lt;P28,P28,IF(G28=MatrixImpact!$B$10,MatrixImpact!$D$10,IF(G28=MatrixImpact!$B$11,MatrixImpact!$D$11,IF(G28=MatrixImpact!$B$12,MatrixImpact!$D$12,IF(G28=MatrixImpact!$B$13,MatrixImpact!$D$13,IF(G28=MatrixImpact!$B$14,MatrixImpact!$D$14,""))))))</f>
        <v/>
      </c>
      <c r="R28" s="285"/>
      <c r="S28" s="283">
        <f t="shared" si="4"/>
        <v>0</v>
      </c>
      <c r="W28" s="287"/>
      <c r="X28" s="287"/>
      <c r="Y28" s="287"/>
      <c r="AG28" s="21" t="s">
        <v>733</v>
      </c>
      <c r="AH28" s="21" t="s">
        <v>734</v>
      </c>
    </row>
    <row r="29" spans="2:34" ht="15" customHeight="1" x14ac:dyDescent="0.25">
      <c r="B29" s="288">
        <v>27</v>
      </c>
      <c r="C29" s="289"/>
      <c r="D29" s="290"/>
      <c r="E29" s="291" t="str">
        <f ca="1">RiskList!A28&amp;": "&amp;RiskList!B28</f>
        <v xml:space="preserve">Company 127: </v>
      </c>
      <c r="F29" s="276" t="str">
        <f ca="1">IF($L29=0%,"",IF(AND($L29&gt;MatrixImpact!$C$8,$L29&lt;=MatrixImpact!$D$8),5,IF(AND($L29&gt;MatrixImpact!$C$7,$L29&lt;=MatrixImpact!$D$7),4,IF(AND($L29&gt;MatrixImpact!$C$6,$L29&lt;=MatrixImpact!$D$6),3,IF(AND($L29&gt;MatrixImpact!$C$5,$L29&lt;=MatrixImpact!$D$5),2,IF(AND($L29&gt;MatrixImpact!$C$4,$L29&lt;=MatrixImpact!$D$4),1,""))))))</f>
        <v/>
      </c>
      <c r="G29" s="292" t="str">
        <f ca="1">IF($P29&gt;MatrixImpact!$C$14,5,IF(AND($P29&gt;MatrixImpact!$C$13,$P29&lt;=MatrixImpact!$D$13),4,IF(AND($P29&gt;MatrixImpact!$C$12,$P29&lt;=MatrixImpact!$D$12),3,IF(AND($P29&gt;MatrixImpact!$C$11,$P29&lt;=MatrixImpact!$D$11),2,IF(AND($P29&gt;MatrixImpact!$C$10,$P29&lt;=MatrixImpact!$D$10),1,"")))))</f>
        <v/>
      </c>
      <c r="H29" s="293">
        <f t="shared" ca="1" si="0"/>
        <v>0</v>
      </c>
      <c r="J29" s="279">
        <f t="shared" si="1"/>
        <v>27</v>
      </c>
      <c r="K29" s="280" t="str">
        <f ca="1">IF(F29=MatrixImpact!$B$4,MatrixImpact!$C$4,IF(F29=MatrixImpact!$B$5,MatrixImpact!$C$5,IF(F29=MatrixImpact!$B$6,MatrixImpact!$C$6,IF(F29=MatrixImpact!$B$7,MatrixImpact!$C$7,IF(F29=MatrixImpact!$B$8,MatrixImpact!$C$8,"")))))</f>
        <v/>
      </c>
      <c r="L29" s="281">
        <f t="shared" ca="1" si="2"/>
        <v>0</v>
      </c>
      <c r="M29" s="280" t="str">
        <f ca="1">IF(F29=MatrixImpact!$B$4,MatrixImpact!$D$4,IF(F29=MatrixImpact!$B$5,MatrixImpact!$D$5,IF(F29=MatrixImpact!$B$6,MatrixImpact!$D$6,IF(F29=MatrixImpact!$B$7,MatrixImpact!$D$7,IF(F29=MatrixImpact!$B$8,MatrixImpact!$D$8,"")))))</f>
        <v/>
      </c>
      <c r="N29" s="282"/>
      <c r="O29" s="283" t="str">
        <f ca="1">IF(G29=MatrixImpact!$B$10,MatrixImpact!$C$10,IF(G29=MatrixImpact!$B$11,MatrixImpact!$C$11,IF(G29=MatrixImpact!$B$12,MatrixImpact!$C$12,IF(G29=MatrixImpact!$B$13,MatrixImpact!$C$13,IF(G29=MatrixImpact!$B$14,MatrixImpact!$C$14,"")))))</f>
        <v/>
      </c>
      <c r="P29" s="284">
        <f t="shared" ca="1" si="3"/>
        <v>0</v>
      </c>
      <c r="Q29" s="283" t="str">
        <f ca="1">IF(IF(G29=MatrixImpact!$B$10,MatrixImpact!$D$10,IF(G29=MatrixImpact!$B$11,MatrixImpact!$D$11,IF(G29=MatrixImpact!$B$12,MatrixImpact!$D$12,IF(G29=MatrixImpact!$B$13,MatrixImpact!$D$13,IF(G29=MatrixImpact!$B$14,MatrixImpact!$D$14,"")))))&lt;P29,P29,IF(G29=MatrixImpact!$B$10,MatrixImpact!$D$10,IF(G29=MatrixImpact!$B$11,MatrixImpact!$D$11,IF(G29=MatrixImpact!$B$12,MatrixImpact!$D$12,IF(G29=MatrixImpact!$B$13,MatrixImpact!$D$13,IF(G29=MatrixImpact!$B$14,MatrixImpact!$D$14,""))))))</f>
        <v/>
      </c>
      <c r="R29" s="285"/>
      <c r="S29" s="283">
        <f t="shared" si="4"/>
        <v>0</v>
      </c>
      <c r="W29" s="287"/>
      <c r="X29" s="287"/>
      <c r="Y29" s="287"/>
      <c r="AG29" s="21" t="s">
        <v>735</v>
      </c>
      <c r="AH29" s="21" t="s">
        <v>736</v>
      </c>
    </row>
    <row r="30" spans="2:34" ht="15" customHeight="1" x14ac:dyDescent="0.25">
      <c r="B30" s="288">
        <v>28</v>
      </c>
      <c r="C30" s="289"/>
      <c r="D30" s="290"/>
      <c r="E30" s="291" t="str">
        <f ca="1">RiskList!A29&amp;": "&amp;RiskList!B29</f>
        <v xml:space="preserve">Company 128: </v>
      </c>
      <c r="F30" s="276" t="str">
        <f ca="1">IF($L30=0%,"",IF(AND($L30&gt;MatrixImpact!$C$8,$L30&lt;=MatrixImpact!$D$8),5,IF(AND($L30&gt;MatrixImpact!$C$7,$L30&lt;=MatrixImpact!$D$7),4,IF(AND($L30&gt;MatrixImpact!$C$6,$L30&lt;=MatrixImpact!$D$6),3,IF(AND($L30&gt;MatrixImpact!$C$5,$L30&lt;=MatrixImpact!$D$5),2,IF(AND($L30&gt;MatrixImpact!$C$4,$L30&lt;=MatrixImpact!$D$4),1,""))))))</f>
        <v/>
      </c>
      <c r="G30" s="292" t="str">
        <f ca="1">IF($P30&gt;MatrixImpact!$C$14,5,IF(AND($P30&gt;MatrixImpact!$C$13,$P30&lt;=MatrixImpact!$D$13),4,IF(AND($P30&gt;MatrixImpact!$C$12,$P30&lt;=MatrixImpact!$D$12),3,IF(AND($P30&gt;MatrixImpact!$C$11,$P30&lt;=MatrixImpact!$D$11),2,IF(AND($P30&gt;MatrixImpact!$C$10,$P30&lt;=MatrixImpact!$D$10),1,"")))))</f>
        <v/>
      </c>
      <c r="H30" s="293">
        <f t="shared" ca="1" si="0"/>
        <v>0</v>
      </c>
      <c r="J30" s="279">
        <f t="shared" si="1"/>
        <v>28</v>
      </c>
      <c r="K30" s="280" t="str">
        <f ca="1">IF(F30=MatrixImpact!$B$4,MatrixImpact!$C$4,IF(F30=MatrixImpact!$B$5,MatrixImpact!$C$5,IF(F30=MatrixImpact!$B$6,MatrixImpact!$C$6,IF(F30=MatrixImpact!$B$7,MatrixImpact!$C$7,IF(F30=MatrixImpact!$B$8,MatrixImpact!$C$8,"")))))</f>
        <v/>
      </c>
      <c r="L30" s="281">
        <f t="shared" ca="1" si="2"/>
        <v>0</v>
      </c>
      <c r="M30" s="280" t="str">
        <f ca="1">IF(F30=MatrixImpact!$B$4,MatrixImpact!$D$4,IF(F30=MatrixImpact!$B$5,MatrixImpact!$D$5,IF(F30=MatrixImpact!$B$6,MatrixImpact!$D$6,IF(F30=MatrixImpact!$B$7,MatrixImpact!$D$7,IF(F30=MatrixImpact!$B$8,MatrixImpact!$D$8,"")))))</f>
        <v/>
      </c>
      <c r="N30" s="282"/>
      <c r="O30" s="283" t="str">
        <f ca="1">IF(G30=MatrixImpact!$B$10,MatrixImpact!$C$10,IF(G30=MatrixImpact!$B$11,MatrixImpact!$C$11,IF(G30=MatrixImpact!$B$12,MatrixImpact!$C$12,IF(G30=MatrixImpact!$B$13,MatrixImpact!$C$13,IF(G30=MatrixImpact!$B$14,MatrixImpact!$C$14,"")))))</f>
        <v/>
      </c>
      <c r="P30" s="284">
        <f t="shared" ca="1" si="3"/>
        <v>0</v>
      </c>
      <c r="Q30" s="283" t="str">
        <f ca="1">IF(IF(G30=MatrixImpact!$B$10,MatrixImpact!$D$10,IF(G30=MatrixImpact!$B$11,MatrixImpact!$D$11,IF(G30=MatrixImpact!$B$12,MatrixImpact!$D$12,IF(G30=MatrixImpact!$B$13,MatrixImpact!$D$13,IF(G30=MatrixImpact!$B$14,MatrixImpact!$D$14,"")))))&lt;P30,P30,IF(G30=MatrixImpact!$B$10,MatrixImpact!$D$10,IF(G30=MatrixImpact!$B$11,MatrixImpact!$D$11,IF(G30=MatrixImpact!$B$12,MatrixImpact!$D$12,IF(G30=MatrixImpact!$B$13,MatrixImpact!$D$13,IF(G30=MatrixImpact!$B$14,MatrixImpact!$D$14,""))))))</f>
        <v/>
      </c>
      <c r="R30" s="285"/>
      <c r="S30" s="283">
        <f t="shared" si="4"/>
        <v>0</v>
      </c>
      <c r="W30" s="287"/>
      <c r="X30" s="287"/>
      <c r="Y30" s="287"/>
      <c r="AG30" s="21" t="s">
        <v>737</v>
      </c>
      <c r="AH30" s="21" t="s">
        <v>738</v>
      </c>
    </row>
    <row r="31" spans="2:34" ht="15" customHeight="1" x14ac:dyDescent="0.25">
      <c r="B31" s="288">
        <v>29</v>
      </c>
      <c r="C31" s="289"/>
      <c r="D31" s="290"/>
      <c r="E31" s="291" t="str">
        <f ca="1">RiskList!A30&amp;": "&amp;RiskList!B30</f>
        <v xml:space="preserve">Company 129: </v>
      </c>
      <c r="F31" s="276" t="str">
        <f ca="1">IF($L31=0%,"",IF(AND($L31&gt;MatrixImpact!$C$8,$L31&lt;=MatrixImpact!$D$8),5,IF(AND($L31&gt;MatrixImpact!$C$7,$L31&lt;=MatrixImpact!$D$7),4,IF(AND($L31&gt;MatrixImpact!$C$6,$L31&lt;=MatrixImpact!$D$6),3,IF(AND($L31&gt;MatrixImpact!$C$5,$L31&lt;=MatrixImpact!$D$5),2,IF(AND($L31&gt;MatrixImpact!$C$4,$L31&lt;=MatrixImpact!$D$4),1,""))))))</f>
        <v/>
      </c>
      <c r="G31" s="292" t="str">
        <f ca="1">IF($P31&gt;MatrixImpact!$C$14,5,IF(AND($P31&gt;MatrixImpact!$C$13,$P31&lt;=MatrixImpact!$D$13),4,IF(AND($P31&gt;MatrixImpact!$C$12,$P31&lt;=MatrixImpact!$D$12),3,IF(AND($P31&gt;MatrixImpact!$C$11,$P31&lt;=MatrixImpact!$D$11),2,IF(AND($P31&gt;MatrixImpact!$C$10,$P31&lt;=MatrixImpact!$D$10),1,"")))))</f>
        <v/>
      </c>
      <c r="H31" s="293">
        <f t="shared" ca="1" si="0"/>
        <v>0</v>
      </c>
      <c r="J31" s="279">
        <f t="shared" si="1"/>
        <v>29</v>
      </c>
      <c r="K31" s="280" t="str">
        <f ca="1">IF(F31=MatrixImpact!$B$4,MatrixImpact!$C$4,IF(F31=MatrixImpact!$B$5,MatrixImpact!$C$5,IF(F31=MatrixImpact!$B$6,MatrixImpact!$C$6,IF(F31=MatrixImpact!$B$7,MatrixImpact!$C$7,IF(F31=MatrixImpact!$B$8,MatrixImpact!$C$8,"")))))</f>
        <v/>
      </c>
      <c r="L31" s="281">
        <f t="shared" ca="1" si="2"/>
        <v>0</v>
      </c>
      <c r="M31" s="280" t="str">
        <f ca="1">IF(F31=MatrixImpact!$B$4,MatrixImpact!$D$4,IF(F31=MatrixImpact!$B$5,MatrixImpact!$D$5,IF(F31=MatrixImpact!$B$6,MatrixImpact!$D$6,IF(F31=MatrixImpact!$B$7,MatrixImpact!$D$7,IF(F31=MatrixImpact!$B$8,MatrixImpact!$D$8,"")))))</f>
        <v/>
      </c>
      <c r="N31" s="282"/>
      <c r="O31" s="283" t="str">
        <f ca="1">IF(G31=MatrixImpact!$B$10,MatrixImpact!$C$10,IF(G31=MatrixImpact!$B$11,MatrixImpact!$C$11,IF(G31=MatrixImpact!$B$12,MatrixImpact!$C$12,IF(G31=MatrixImpact!$B$13,MatrixImpact!$C$13,IF(G31=MatrixImpact!$B$14,MatrixImpact!$C$14,"")))))</f>
        <v/>
      </c>
      <c r="P31" s="284">
        <f t="shared" ca="1" si="3"/>
        <v>0</v>
      </c>
      <c r="Q31" s="283" t="str">
        <f ca="1">IF(IF(G31=MatrixImpact!$B$10,MatrixImpact!$D$10,IF(G31=MatrixImpact!$B$11,MatrixImpact!$D$11,IF(G31=MatrixImpact!$B$12,MatrixImpact!$D$12,IF(G31=MatrixImpact!$B$13,MatrixImpact!$D$13,IF(G31=MatrixImpact!$B$14,MatrixImpact!$D$14,"")))))&lt;P31,P31,IF(G31=MatrixImpact!$B$10,MatrixImpact!$D$10,IF(G31=MatrixImpact!$B$11,MatrixImpact!$D$11,IF(G31=MatrixImpact!$B$12,MatrixImpact!$D$12,IF(G31=MatrixImpact!$B$13,MatrixImpact!$D$13,IF(G31=MatrixImpact!$B$14,MatrixImpact!$D$14,""))))))</f>
        <v/>
      </c>
      <c r="R31" s="285"/>
      <c r="S31" s="283">
        <f t="shared" si="4"/>
        <v>0</v>
      </c>
      <c r="W31" s="287"/>
      <c r="X31" s="287"/>
      <c r="Y31" s="287"/>
      <c r="AG31" s="21" t="s">
        <v>739</v>
      </c>
      <c r="AH31" s="21" t="s">
        <v>740</v>
      </c>
    </row>
    <row r="32" spans="2:34" ht="15" customHeight="1" x14ac:dyDescent="0.25">
      <c r="B32" s="288">
        <v>30</v>
      </c>
      <c r="C32" s="289"/>
      <c r="D32" s="290"/>
      <c r="E32" s="291" t="str">
        <f ca="1">RiskList!A31&amp;": "&amp;RiskList!B31</f>
        <v xml:space="preserve">Company 130: </v>
      </c>
      <c r="F32" s="276" t="str">
        <f ca="1">IF($L32=0%,"",IF(AND($L32&gt;MatrixImpact!$C$8,$L32&lt;=MatrixImpact!$D$8),5,IF(AND($L32&gt;MatrixImpact!$C$7,$L32&lt;=MatrixImpact!$D$7),4,IF(AND($L32&gt;MatrixImpact!$C$6,$L32&lt;=MatrixImpact!$D$6),3,IF(AND($L32&gt;MatrixImpact!$C$5,$L32&lt;=MatrixImpact!$D$5),2,IF(AND($L32&gt;MatrixImpact!$C$4,$L32&lt;=MatrixImpact!$D$4),1,""))))))</f>
        <v/>
      </c>
      <c r="G32" s="292" t="str">
        <f ca="1">IF($P32&gt;MatrixImpact!$C$14,5,IF(AND($P32&gt;MatrixImpact!$C$13,$P32&lt;=MatrixImpact!$D$13),4,IF(AND($P32&gt;MatrixImpact!$C$12,$P32&lt;=MatrixImpact!$D$12),3,IF(AND($P32&gt;MatrixImpact!$C$11,$P32&lt;=MatrixImpact!$D$11),2,IF(AND($P32&gt;MatrixImpact!$C$10,$P32&lt;=MatrixImpact!$D$10),1,"")))))</f>
        <v/>
      </c>
      <c r="H32" s="293">
        <f t="shared" ca="1" si="0"/>
        <v>0</v>
      </c>
      <c r="J32" s="279">
        <f t="shared" si="1"/>
        <v>30</v>
      </c>
      <c r="K32" s="280" t="str">
        <f ca="1">IF(F32=MatrixImpact!$B$4,MatrixImpact!$C$4,IF(F32=MatrixImpact!$B$5,MatrixImpact!$C$5,IF(F32=MatrixImpact!$B$6,MatrixImpact!$C$6,IF(F32=MatrixImpact!$B$7,MatrixImpact!$C$7,IF(F32=MatrixImpact!$B$8,MatrixImpact!$C$8,"")))))</f>
        <v/>
      </c>
      <c r="L32" s="281">
        <f t="shared" ca="1" si="2"/>
        <v>0</v>
      </c>
      <c r="M32" s="280" t="str">
        <f ca="1">IF(F32=MatrixImpact!$B$4,MatrixImpact!$D$4,IF(F32=MatrixImpact!$B$5,MatrixImpact!$D$5,IF(F32=MatrixImpact!$B$6,MatrixImpact!$D$6,IF(F32=MatrixImpact!$B$7,MatrixImpact!$D$7,IF(F32=MatrixImpact!$B$8,MatrixImpact!$D$8,"")))))</f>
        <v/>
      </c>
      <c r="N32" s="282"/>
      <c r="O32" s="283" t="str">
        <f ca="1">IF(G32=MatrixImpact!$B$10,MatrixImpact!$C$10,IF(G32=MatrixImpact!$B$11,MatrixImpact!$C$11,IF(G32=MatrixImpact!$B$12,MatrixImpact!$C$12,IF(G32=MatrixImpact!$B$13,MatrixImpact!$C$13,IF(G32=MatrixImpact!$B$14,MatrixImpact!$C$14,"")))))</f>
        <v/>
      </c>
      <c r="P32" s="284">
        <f t="shared" ca="1" si="3"/>
        <v>0</v>
      </c>
      <c r="Q32" s="283" t="str">
        <f ca="1">IF(IF(G32=MatrixImpact!$B$10,MatrixImpact!$D$10,IF(G32=MatrixImpact!$B$11,MatrixImpact!$D$11,IF(G32=MatrixImpact!$B$12,MatrixImpact!$D$12,IF(G32=MatrixImpact!$B$13,MatrixImpact!$D$13,IF(G32=MatrixImpact!$B$14,MatrixImpact!$D$14,"")))))&lt;P32,P32,IF(G32=MatrixImpact!$B$10,MatrixImpact!$D$10,IF(G32=MatrixImpact!$B$11,MatrixImpact!$D$11,IF(G32=MatrixImpact!$B$12,MatrixImpact!$D$12,IF(G32=MatrixImpact!$B$13,MatrixImpact!$D$13,IF(G32=MatrixImpact!$B$14,MatrixImpact!$D$14,""))))))</f>
        <v/>
      </c>
      <c r="R32" s="285"/>
      <c r="S32" s="283">
        <f t="shared" si="4"/>
        <v>0</v>
      </c>
      <c r="W32" s="287"/>
      <c r="X32" s="287"/>
      <c r="Y32" s="287"/>
      <c r="AG32" s="21" t="s">
        <v>741</v>
      </c>
      <c r="AH32" s="21" t="s">
        <v>742</v>
      </c>
    </row>
    <row r="33" spans="2:34" ht="15" customHeight="1" x14ac:dyDescent="0.25">
      <c r="B33" s="288">
        <v>31</v>
      </c>
      <c r="C33" s="289"/>
      <c r="D33" s="290"/>
      <c r="E33" s="291" t="str">
        <f ca="1">RiskList!A32&amp;": "&amp;RiskList!B32</f>
        <v xml:space="preserve">Company 131: </v>
      </c>
      <c r="F33" s="276" t="str">
        <f ca="1">IF($L33=0%,"",IF(AND($L33&gt;MatrixImpact!$C$8,$L33&lt;=MatrixImpact!$D$8),5,IF(AND($L33&gt;MatrixImpact!$C$7,$L33&lt;=MatrixImpact!$D$7),4,IF(AND($L33&gt;MatrixImpact!$C$6,$L33&lt;=MatrixImpact!$D$6),3,IF(AND($L33&gt;MatrixImpact!$C$5,$L33&lt;=MatrixImpact!$D$5),2,IF(AND($L33&gt;MatrixImpact!$C$4,$L33&lt;=MatrixImpact!$D$4),1,""))))))</f>
        <v/>
      </c>
      <c r="G33" s="292" t="str">
        <f ca="1">IF($P33&gt;MatrixImpact!$C$14,5,IF(AND($P33&gt;MatrixImpact!$C$13,$P33&lt;=MatrixImpact!$D$13),4,IF(AND($P33&gt;MatrixImpact!$C$12,$P33&lt;=MatrixImpact!$D$12),3,IF(AND($P33&gt;MatrixImpact!$C$11,$P33&lt;=MatrixImpact!$D$11),2,IF(AND($P33&gt;MatrixImpact!$C$10,$P33&lt;=MatrixImpact!$D$10),1,"")))))</f>
        <v/>
      </c>
      <c r="H33" s="293">
        <f t="shared" ca="1" si="0"/>
        <v>0</v>
      </c>
      <c r="J33" s="279">
        <f t="shared" si="1"/>
        <v>31</v>
      </c>
      <c r="K33" s="280" t="str">
        <f ca="1">IF(F33=MatrixImpact!$B$4,MatrixImpact!$C$4,IF(F33=MatrixImpact!$B$5,MatrixImpact!$C$5,IF(F33=MatrixImpact!$B$6,MatrixImpact!$C$6,IF(F33=MatrixImpact!$B$7,MatrixImpact!$C$7,IF(F33=MatrixImpact!$B$8,MatrixImpact!$C$8,"")))))</f>
        <v/>
      </c>
      <c r="L33" s="281">
        <f t="shared" ca="1" si="2"/>
        <v>0</v>
      </c>
      <c r="M33" s="280" t="str">
        <f ca="1">IF(F33=MatrixImpact!$B$4,MatrixImpact!$D$4,IF(F33=MatrixImpact!$B$5,MatrixImpact!$D$5,IF(F33=MatrixImpact!$B$6,MatrixImpact!$D$6,IF(F33=MatrixImpact!$B$7,MatrixImpact!$D$7,IF(F33=MatrixImpact!$B$8,MatrixImpact!$D$8,"")))))</f>
        <v/>
      </c>
      <c r="N33" s="282"/>
      <c r="O33" s="283" t="str">
        <f ca="1">IF(G33=MatrixImpact!$B$10,MatrixImpact!$C$10,IF(G33=MatrixImpact!$B$11,MatrixImpact!$C$11,IF(G33=MatrixImpact!$B$12,MatrixImpact!$C$12,IF(G33=MatrixImpact!$B$13,MatrixImpact!$C$13,IF(G33=MatrixImpact!$B$14,MatrixImpact!$C$14,"")))))</f>
        <v/>
      </c>
      <c r="P33" s="284">
        <f t="shared" ca="1" si="3"/>
        <v>0</v>
      </c>
      <c r="Q33" s="283" t="str">
        <f ca="1">IF(IF(G33=MatrixImpact!$B$10,MatrixImpact!$D$10,IF(G33=MatrixImpact!$B$11,MatrixImpact!$D$11,IF(G33=MatrixImpact!$B$12,MatrixImpact!$D$12,IF(G33=MatrixImpact!$B$13,MatrixImpact!$D$13,IF(G33=MatrixImpact!$B$14,MatrixImpact!$D$14,"")))))&lt;P33,P33,IF(G33=MatrixImpact!$B$10,MatrixImpact!$D$10,IF(G33=MatrixImpact!$B$11,MatrixImpact!$D$11,IF(G33=MatrixImpact!$B$12,MatrixImpact!$D$12,IF(G33=MatrixImpact!$B$13,MatrixImpact!$D$13,IF(G33=MatrixImpact!$B$14,MatrixImpact!$D$14,""))))))</f>
        <v/>
      </c>
      <c r="R33" s="285"/>
      <c r="S33" s="283">
        <f t="shared" si="4"/>
        <v>0</v>
      </c>
      <c r="W33" s="287"/>
      <c r="X33" s="287"/>
      <c r="Y33" s="287"/>
      <c r="AG33" s="21" t="s">
        <v>743</v>
      </c>
      <c r="AH33" s="21" t="s">
        <v>744</v>
      </c>
    </row>
    <row r="34" spans="2:34" ht="15" customHeight="1" x14ac:dyDescent="0.25">
      <c r="B34" s="288">
        <v>32</v>
      </c>
      <c r="C34" s="289"/>
      <c r="D34" s="290"/>
      <c r="E34" s="291" t="str">
        <f ca="1">RiskList!A33&amp;": "&amp;RiskList!B33</f>
        <v xml:space="preserve">Company 132: </v>
      </c>
      <c r="F34" s="276" t="str">
        <f ca="1">IF($L34=0%,"",IF(AND($L34&gt;MatrixImpact!$C$8,$L34&lt;=MatrixImpact!$D$8),5,IF(AND($L34&gt;MatrixImpact!$C$7,$L34&lt;=MatrixImpact!$D$7),4,IF(AND($L34&gt;MatrixImpact!$C$6,$L34&lt;=MatrixImpact!$D$6),3,IF(AND($L34&gt;MatrixImpact!$C$5,$L34&lt;=MatrixImpact!$D$5),2,IF(AND($L34&gt;MatrixImpact!$C$4,$L34&lt;=MatrixImpact!$D$4),1,""))))))</f>
        <v/>
      </c>
      <c r="G34" s="292" t="str">
        <f ca="1">IF($P34&gt;MatrixImpact!$C$14,5,IF(AND($P34&gt;MatrixImpact!$C$13,$P34&lt;=MatrixImpact!$D$13),4,IF(AND($P34&gt;MatrixImpact!$C$12,$P34&lt;=MatrixImpact!$D$12),3,IF(AND($P34&gt;MatrixImpact!$C$11,$P34&lt;=MatrixImpact!$D$11),2,IF(AND($P34&gt;MatrixImpact!$C$10,$P34&lt;=MatrixImpact!$D$10),1,"")))))</f>
        <v/>
      </c>
      <c r="H34" s="293">
        <f t="shared" ca="1" si="0"/>
        <v>0</v>
      </c>
      <c r="J34" s="279">
        <f t="shared" si="1"/>
        <v>32</v>
      </c>
      <c r="K34" s="280" t="str">
        <f ca="1">IF(F34=MatrixImpact!$B$4,MatrixImpact!$C$4,IF(F34=MatrixImpact!$B$5,MatrixImpact!$C$5,IF(F34=MatrixImpact!$B$6,MatrixImpact!$C$6,IF(F34=MatrixImpact!$B$7,MatrixImpact!$C$7,IF(F34=MatrixImpact!$B$8,MatrixImpact!$C$8,"")))))</f>
        <v/>
      </c>
      <c r="L34" s="281">
        <f t="shared" ca="1" si="2"/>
        <v>0</v>
      </c>
      <c r="M34" s="280" t="str">
        <f ca="1">IF(F34=MatrixImpact!$B$4,MatrixImpact!$D$4,IF(F34=MatrixImpact!$B$5,MatrixImpact!$D$5,IF(F34=MatrixImpact!$B$6,MatrixImpact!$D$6,IF(F34=MatrixImpact!$B$7,MatrixImpact!$D$7,IF(F34=MatrixImpact!$B$8,MatrixImpact!$D$8,"")))))</f>
        <v/>
      </c>
      <c r="N34" s="282"/>
      <c r="O34" s="283" t="str">
        <f ca="1">IF(G34=MatrixImpact!$B$10,MatrixImpact!$C$10,IF(G34=MatrixImpact!$B$11,MatrixImpact!$C$11,IF(G34=MatrixImpact!$B$12,MatrixImpact!$C$12,IF(G34=MatrixImpact!$B$13,MatrixImpact!$C$13,IF(G34=MatrixImpact!$B$14,MatrixImpact!$C$14,"")))))</f>
        <v/>
      </c>
      <c r="P34" s="284">
        <f t="shared" ca="1" si="3"/>
        <v>0</v>
      </c>
      <c r="Q34" s="283" t="str">
        <f ca="1">IF(IF(G34=MatrixImpact!$B$10,MatrixImpact!$D$10,IF(G34=MatrixImpact!$B$11,MatrixImpact!$D$11,IF(G34=MatrixImpact!$B$12,MatrixImpact!$D$12,IF(G34=MatrixImpact!$B$13,MatrixImpact!$D$13,IF(G34=MatrixImpact!$B$14,MatrixImpact!$D$14,"")))))&lt;P34,P34,IF(G34=MatrixImpact!$B$10,MatrixImpact!$D$10,IF(G34=MatrixImpact!$B$11,MatrixImpact!$D$11,IF(G34=MatrixImpact!$B$12,MatrixImpact!$D$12,IF(G34=MatrixImpact!$B$13,MatrixImpact!$D$13,IF(G34=MatrixImpact!$B$14,MatrixImpact!$D$14,""))))))</f>
        <v/>
      </c>
      <c r="R34" s="285"/>
      <c r="S34" s="283">
        <f t="shared" si="4"/>
        <v>0</v>
      </c>
      <c r="W34" s="287"/>
      <c r="X34" s="287"/>
      <c r="Y34" s="287"/>
      <c r="AG34" s="21" t="s">
        <v>745</v>
      </c>
      <c r="AH34" s="21" t="s">
        <v>746</v>
      </c>
    </row>
    <row r="35" spans="2:34" ht="15" customHeight="1" x14ac:dyDescent="0.25">
      <c r="B35" s="288">
        <v>33</v>
      </c>
      <c r="C35" s="289"/>
      <c r="D35" s="290"/>
      <c r="E35" s="291" t="str">
        <f ca="1">RiskList!A34&amp;": "&amp;RiskList!B34</f>
        <v xml:space="preserve">Company 133: </v>
      </c>
      <c r="F35" s="276" t="str">
        <f ca="1">IF($L35=0%,"",IF(AND($L35&gt;MatrixImpact!$C$8,$L35&lt;=MatrixImpact!$D$8),5,IF(AND($L35&gt;MatrixImpact!$C$7,$L35&lt;=MatrixImpact!$D$7),4,IF(AND($L35&gt;MatrixImpact!$C$6,$L35&lt;=MatrixImpact!$D$6),3,IF(AND($L35&gt;MatrixImpact!$C$5,$L35&lt;=MatrixImpact!$D$5),2,IF(AND($L35&gt;MatrixImpact!$C$4,$L35&lt;=MatrixImpact!$D$4),1,""))))))</f>
        <v/>
      </c>
      <c r="G35" s="292" t="str">
        <f ca="1">IF($P35&gt;MatrixImpact!$C$14,5,IF(AND($P35&gt;MatrixImpact!$C$13,$P35&lt;=MatrixImpact!$D$13),4,IF(AND($P35&gt;MatrixImpact!$C$12,$P35&lt;=MatrixImpact!$D$12),3,IF(AND($P35&gt;MatrixImpact!$C$11,$P35&lt;=MatrixImpact!$D$11),2,IF(AND($P35&gt;MatrixImpact!$C$10,$P35&lt;=MatrixImpact!$D$10),1,"")))))</f>
        <v/>
      </c>
      <c r="H35" s="293">
        <f t="shared" ca="1" si="0"/>
        <v>0</v>
      </c>
      <c r="J35" s="279">
        <f t="shared" si="1"/>
        <v>33</v>
      </c>
      <c r="K35" s="280" t="str">
        <f ca="1">IF(F35=MatrixImpact!$B$4,MatrixImpact!$C$4,IF(F35=MatrixImpact!$B$5,MatrixImpact!$C$5,IF(F35=MatrixImpact!$B$6,MatrixImpact!$C$6,IF(F35=MatrixImpact!$B$7,MatrixImpact!$C$7,IF(F35=MatrixImpact!$B$8,MatrixImpact!$C$8,"")))))</f>
        <v/>
      </c>
      <c r="L35" s="281">
        <f t="shared" ca="1" si="2"/>
        <v>0</v>
      </c>
      <c r="M35" s="280" t="str">
        <f ca="1">IF(F35=MatrixImpact!$B$4,MatrixImpact!$D$4,IF(F35=MatrixImpact!$B$5,MatrixImpact!$D$5,IF(F35=MatrixImpact!$B$6,MatrixImpact!$D$6,IF(F35=MatrixImpact!$B$7,MatrixImpact!$D$7,IF(F35=MatrixImpact!$B$8,MatrixImpact!$D$8,"")))))</f>
        <v/>
      </c>
      <c r="N35" s="282"/>
      <c r="O35" s="283" t="str">
        <f ca="1">IF(G35=MatrixImpact!$B$10,MatrixImpact!$C$10,IF(G35=MatrixImpact!$B$11,MatrixImpact!$C$11,IF(G35=MatrixImpact!$B$12,MatrixImpact!$C$12,IF(G35=MatrixImpact!$B$13,MatrixImpact!$C$13,IF(G35=MatrixImpact!$B$14,MatrixImpact!$C$14,"")))))</f>
        <v/>
      </c>
      <c r="P35" s="284">
        <f t="shared" ca="1" si="3"/>
        <v>0</v>
      </c>
      <c r="Q35" s="283" t="str">
        <f ca="1">IF(IF(G35=MatrixImpact!$B$10,MatrixImpact!$D$10,IF(G35=MatrixImpact!$B$11,MatrixImpact!$D$11,IF(G35=MatrixImpact!$B$12,MatrixImpact!$D$12,IF(G35=MatrixImpact!$B$13,MatrixImpact!$D$13,IF(G35=MatrixImpact!$B$14,MatrixImpact!$D$14,"")))))&lt;P35,P35,IF(G35=MatrixImpact!$B$10,MatrixImpact!$D$10,IF(G35=MatrixImpact!$B$11,MatrixImpact!$D$11,IF(G35=MatrixImpact!$B$12,MatrixImpact!$D$12,IF(G35=MatrixImpact!$B$13,MatrixImpact!$D$13,IF(G35=MatrixImpact!$B$14,MatrixImpact!$D$14,""))))))</f>
        <v/>
      </c>
      <c r="R35" s="285"/>
      <c r="S35" s="283">
        <f t="shared" si="4"/>
        <v>0</v>
      </c>
      <c r="W35" s="287"/>
      <c r="X35" s="287"/>
      <c r="Y35" s="287"/>
      <c r="AG35" s="21" t="s">
        <v>747</v>
      </c>
      <c r="AH35" s="21" t="s">
        <v>748</v>
      </c>
    </row>
    <row r="36" spans="2:34" ht="15" customHeight="1" x14ac:dyDescent="0.25">
      <c r="B36" s="288">
        <v>34</v>
      </c>
      <c r="C36" s="289"/>
      <c r="D36" s="290"/>
      <c r="E36" s="291" t="str">
        <f ca="1">RiskList!A35&amp;": "&amp;RiskList!B35</f>
        <v xml:space="preserve">Company 134: </v>
      </c>
      <c r="F36" s="276" t="str">
        <f ca="1">IF($L36=0%,"",IF(AND($L36&gt;MatrixImpact!$C$8,$L36&lt;=MatrixImpact!$D$8),5,IF(AND($L36&gt;MatrixImpact!$C$7,$L36&lt;=MatrixImpact!$D$7),4,IF(AND($L36&gt;MatrixImpact!$C$6,$L36&lt;=MatrixImpact!$D$6),3,IF(AND($L36&gt;MatrixImpact!$C$5,$L36&lt;=MatrixImpact!$D$5),2,IF(AND($L36&gt;MatrixImpact!$C$4,$L36&lt;=MatrixImpact!$D$4),1,""))))))</f>
        <v/>
      </c>
      <c r="G36" s="292" t="str">
        <f ca="1">IF($P36&gt;MatrixImpact!$C$14,5,IF(AND($P36&gt;MatrixImpact!$C$13,$P36&lt;=MatrixImpact!$D$13),4,IF(AND($P36&gt;MatrixImpact!$C$12,$P36&lt;=MatrixImpact!$D$12),3,IF(AND($P36&gt;MatrixImpact!$C$11,$P36&lt;=MatrixImpact!$D$11),2,IF(AND($P36&gt;MatrixImpact!$C$10,$P36&lt;=MatrixImpact!$D$10),1,"")))))</f>
        <v/>
      </c>
      <c r="H36" s="293">
        <f t="shared" ca="1" si="0"/>
        <v>0</v>
      </c>
      <c r="J36" s="279">
        <f t="shared" si="1"/>
        <v>34</v>
      </c>
      <c r="K36" s="280" t="str">
        <f ca="1">IF(F36=MatrixImpact!$B$4,MatrixImpact!$C$4,IF(F36=MatrixImpact!$B$5,MatrixImpact!$C$5,IF(F36=MatrixImpact!$B$6,MatrixImpact!$C$6,IF(F36=MatrixImpact!$B$7,MatrixImpact!$C$7,IF(F36=MatrixImpact!$B$8,MatrixImpact!$C$8,"")))))</f>
        <v/>
      </c>
      <c r="L36" s="281">
        <f t="shared" ca="1" si="2"/>
        <v>0</v>
      </c>
      <c r="M36" s="280" t="str">
        <f ca="1">IF(F36=MatrixImpact!$B$4,MatrixImpact!$D$4,IF(F36=MatrixImpact!$B$5,MatrixImpact!$D$5,IF(F36=MatrixImpact!$B$6,MatrixImpact!$D$6,IF(F36=MatrixImpact!$B$7,MatrixImpact!$D$7,IF(F36=MatrixImpact!$B$8,MatrixImpact!$D$8,"")))))</f>
        <v/>
      </c>
      <c r="N36" s="282"/>
      <c r="O36" s="283" t="str">
        <f ca="1">IF(G36=MatrixImpact!$B$10,MatrixImpact!$C$10,IF(G36=MatrixImpact!$B$11,MatrixImpact!$C$11,IF(G36=MatrixImpact!$B$12,MatrixImpact!$C$12,IF(G36=MatrixImpact!$B$13,MatrixImpact!$C$13,IF(G36=MatrixImpact!$B$14,MatrixImpact!$C$14,"")))))</f>
        <v/>
      </c>
      <c r="P36" s="284">
        <f t="shared" ca="1" si="3"/>
        <v>0</v>
      </c>
      <c r="Q36" s="283" t="str">
        <f ca="1">IF(IF(G36=MatrixImpact!$B$10,MatrixImpact!$D$10,IF(G36=MatrixImpact!$B$11,MatrixImpact!$D$11,IF(G36=MatrixImpact!$B$12,MatrixImpact!$D$12,IF(G36=MatrixImpact!$B$13,MatrixImpact!$D$13,IF(G36=MatrixImpact!$B$14,MatrixImpact!$D$14,"")))))&lt;P36,P36,IF(G36=MatrixImpact!$B$10,MatrixImpact!$D$10,IF(G36=MatrixImpact!$B$11,MatrixImpact!$D$11,IF(G36=MatrixImpact!$B$12,MatrixImpact!$D$12,IF(G36=MatrixImpact!$B$13,MatrixImpact!$D$13,IF(G36=MatrixImpact!$B$14,MatrixImpact!$D$14,""))))))</f>
        <v/>
      </c>
      <c r="R36" s="285"/>
      <c r="S36" s="283">
        <f t="shared" si="4"/>
        <v>0</v>
      </c>
      <c r="W36" s="287"/>
      <c r="X36" s="287"/>
      <c r="Y36" s="287"/>
      <c r="AG36" s="21" t="s">
        <v>753</v>
      </c>
      <c r="AH36" s="21" t="s">
        <v>754</v>
      </c>
    </row>
    <row r="37" spans="2:34" ht="15" customHeight="1" x14ac:dyDescent="0.25">
      <c r="B37" s="288">
        <v>35</v>
      </c>
      <c r="C37" s="289"/>
      <c r="D37" s="290"/>
      <c r="E37" s="291" t="str">
        <f>RiskList!A36&amp;": "&amp;RiskList!B36</f>
        <v xml:space="preserve">: </v>
      </c>
      <c r="F37" s="276" t="str">
        <f ca="1">IF($L37=0%,"",IF(AND($L37&gt;MatrixImpact!$C$8,$L37&lt;=MatrixImpact!$D$8),5,IF(AND($L37&gt;MatrixImpact!$C$7,$L37&lt;=MatrixImpact!$D$7),4,IF(AND($L37&gt;MatrixImpact!$C$6,$L37&lt;=MatrixImpact!$D$6),3,IF(AND($L37&gt;MatrixImpact!$C$5,$L37&lt;=MatrixImpact!$D$5),2,IF(AND($L37&gt;MatrixImpact!$C$4,$L37&lt;=MatrixImpact!$D$4),1,""))))))</f>
        <v/>
      </c>
      <c r="G37" s="292" t="str">
        <f ca="1">IF($P37&gt;MatrixImpact!$C$14,5,IF(AND($P37&gt;MatrixImpact!$C$13,$P37&lt;=MatrixImpact!$D$13),4,IF(AND($P37&gt;MatrixImpact!$C$12,$P37&lt;=MatrixImpact!$D$12),3,IF(AND($P37&gt;MatrixImpact!$C$11,$P37&lt;=MatrixImpact!$D$11),2,IF(AND($P37&gt;MatrixImpact!$C$10,$P37&lt;=MatrixImpact!$D$10),1,"")))))</f>
        <v/>
      </c>
      <c r="H37" s="293">
        <f t="shared" ca="1" si="0"/>
        <v>0</v>
      </c>
      <c r="J37" s="279">
        <f t="shared" si="1"/>
        <v>35</v>
      </c>
      <c r="K37" s="280" t="str">
        <f ca="1">IF(F37=MatrixImpact!$B$4,MatrixImpact!$C$4,IF(F37=MatrixImpact!$B$5,MatrixImpact!$C$5,IF(F37=MatrixImpact!$B$6,MatrixImpact!$C$6,IF(F37=MatrixImpact!$B$7,MatrixImpact!$C$7,IF(F37=MatrixImpact!$B$8,MatrixImpact!$C$8,"")))))</f>
        <v/>
      </c>
      <c r="L37" s="281">
        <f t="shared" ca="1" si="2"/>
        <v>0</v>
      </c>
      <c r="M37" s="280" t="str">
        <f ca="1">IF(F37=MatrixImpact!$B$4,MatrixImpact!$D$4,IF(F37=MatrixImpact!$B$5,MatrixImpact!$D$5,IF(F37=MatrixImpact!$B$6,MatrixImpact!$D$6,IF(F37=MatrixImpact!$B$7,MatrixImpact!$D$7,IF(F37=MatrixImpact!$B$8,MatrixImpact!$D$8,"")))))</f>
        <v/>
      </c>
      <c r="N37" s="282"/>
      <c r="O37" s="283" t="str">
        <f ca="1">IF(G37=MatrixImpact!$B$10,MatrixImpact!$C$10,IF(G37=MatrixImpact!$B$11,MatrixImpact!$C$11,IF(G37=MatrixImpact!$B$12,MatrixImpact!$C$12,IF(G37=MatrixImpact!$B$13,MatrixImpact!$C$13,IF(G37=MatrixImpact!$B$14,MatrixImpact!$C$14,"")))))</f>
        <v/>
      </c>
      <c r="P37" s="284">
        <f t="shared" ca="1" si="3"/>
        <v>0</v>
      </c>
      <c r="Q37" s="283" t="str">
        <f ca="1">IF(IF(G37=MatrixImpact!$B$10,MatrixImpact!$D$10,IF(G37=MatrixImpact!$B$11,MatrixImpact!$D$11,IF(G37=MatrixImpact!$B$12,MatrixImpact!$D$12,IF(G37=MatrixImpact!$B$13,MatrixImpact!$D$13,IF(G37=MatrixImpact!$B$14,MatrixImpact!$D$14,"")))))&lt;P37,P37,IF(G37=MatrixImpact!$B$10,MatrixImpact!$D$10,IF(G37=MatrixImpact!$B$11,MatrixImpact!$D$11,IF(G37=MatrixImpact!$B$12,MatrixImpact!$D$12,IF(G37=MatrixImpact!$B$13,MatrixImpact!$D$13,IF(G37=MatrixImpact!$B$14,MatrixImpact!$D$14,""))))))</f>
        <v/>
      </c>
      <c r="R37" s="285"/>
      <c r="S37" s="283">
        <f t="shared" si="4"/>
        <v>0</v>
      </c>
      <c r="W37" s="287"/>
      <c r="X37" s="287"/>
      <c r="Y37" s="287"/>
      <c r="AH37" s="21" t="s">
        <v>749</v>
      </c>
    </row>
    <row r="38" spans="2:34" ht="15" customHeight="1" x14ac:dyDescent="0.25">
      <c r="B38" s="288">
        <v>36</v>
      </c>
      <c r="C38" s="289"/>
      <c r="D38" s="290"/>
      <c r="E38" s="291" t="str">
        <f>RiskList!A37&amp;": "&amp;RiskList!B37</f>
        <v xml:space="preserve">: </v>
      </c>
      <c r="F38" s="276" t="str">
        <f ca="1">IF($L38=0%,"",IF(AND($L38&gt;MatrixImpact!$C$8,$L38&lt;=MatrixImpact!$D$8),5,IF(AND($L38&gt;MatrixImpact!$C$7,$L38&lt;=MatrixImpact!$D$7),4,IF(AND($L38&gt;MatrixImpact!$C$6,$L38&lt;=MatrixImpact!$D$6),3,IF(AND($L38&gt;MatrixImpact!$C$5,$L38&lt;=MatrixImpact!$D$5),2,IF(AND($L38&gt;MatrixImpact!$C$4,$L38&lt;=MatrixImpact!$D$4),1,""))))))</f>
        <v/>
      </c>
      <c r="G38" s="292" t="str">
        <f ca="1">IF($P38&gt;MatrixImpact!$C$14,5,IF(AND($P38&gt;MatrixImpact!$C$13,$P38&lt;=MatrixImpact!$D$13),4,IF(AND($P38&gt;MatrixImpact!$C$12,$P38&lt;=MatrixImpact!$D$12),3,IF(AND($P38&gt;MatrixImpact!$C$11,$P38&lt;=MatrixImpact!$D$11),2,IF(AND($P38&gt;MatrixImpact!$C$10,$P38&lt;=MatrixImpact!$D$10),1,"")))))</f>
        <v/>
      </c>
      <c r="H38" s="293">
        <f t="shared" ca="1" si="0"/>
        <v>0</v>
      </c>
      <c r="J38" s="279">
        <f t="shared" si="1"/>
        <v>36</v>
      </c>
      <c r="K38" s="280" t="str">
        <f ca="1">IF(F38=MatrixImpact!$B$4,MatrixImpact!$C$4,IF(F38=MatrixImpact!$B$5,MatrixImpact!$C$5,IF(F38=MatrixImpact!$B$6,MatrixImpact!$C$6,IF(F38=MatrixImpact!$B$7,MatrixImpact!$C$7,IF(F38=MatrixImpact!$B$8,MatrixImpact!$C$8,"")))))</f>
        <v/>
      </c>
      <c r="L38" s="281">
        <f t="shared" ca="1" si="2"/>
        <v>0</v>
      </c>
      <c r="M38" s="280" t="str">
        <f ca="1">IF(F38=MatrixImpact!$B$4,MatrixImpact!$D$4,IF(F38=MatrixImpact!$B$5,MatrixImpact!$D$5,IF(F38=MatrixImpact!$B$6,MatrixImpact!$D$6,IF(F38=MatrixImpact!$B$7,MatrixImpact!$D$7,IF(F38=MatrixImpact!$B$8,MatrixImpact!$D$8,"")))))</f>
        <v/>
      </c>
      <c r="N38" s="282"/>
      <c r="O38" s="283" t="str">
        <f ca="1">IF(G38=MatrixImpact!$B$10,MatrixImpact!$C$10,IF(G38=MatrixImpact!$B$11,MatrixImpact!$C$11,IF(G38=MatrixImpact!$B$12,MatrixImpact!$C$12,IF(G38=MatrixImpact!$B$13,MatrixImpact!$C$13,IF(G38=MatrixImpact!$B$14,MatrixImpact!$C$14,"")))))</f>
        <v/>
      </c>
      <c r="P38" s="284">
        <f t="shared" ca="1" si="3"/>
        <v>0</v>
      </c>
      <c r="Q38" s="283" t="str">
        <f ca="1">IF(IF(G38=MatrixImpact!$B$10,MatrixImpact!$D$10,IF(G38=MatrixImpact!$B$11,MatrixImpact!$D$11,IF(G38=MatrixImpact!$B$12,MatrixImpact!$D$12,IF(G38=MatrixImpact!$B$13,MatrixImpact!$D$13,IF(G38=MatrixImpact!$B$14,MatrixImpact!$D$14,"")))))&lt;P38,P38,IF(G38=MatrixImpact!$B$10,MatrixImpact!$D$10,IF(G38=MatrixImpact!$B$11,MatrixImpact!$D$11,IF(G38=MatrixImpact!$B$12,MatrixImpact!$D$12,IF(G38=MatrixImpact!$B$13,MatrixImpact!$D$13,IF(G38=MatrixImpact!$B$14,MatrixImpact!$D$14,""))))))</f>
        <v/>
      </c>
      <c r="R38" s="285"/>
      <c r="S38" s="283">
        <f t="shared" si="4"/>
        <v>0</v>
      </c>
      <c r="W38" s="287"/>
      <c r="X38" s="287"/>
      <c r="Y38" s="287"/>
      <c r="AG38" s="21"/>
      <c r="AH38" s="21" t="s">
        <v>750</v>
      </c>
    </row>
    <row r="39" spans="2:34" ht="15" customHeight="1" x14ac:dyDescent="0.25">
      <c r="B39" s="288">
        <v>37</v>
      </c>
      <c r="C39" s="289"/>
      <c r="D39" s="290"/>
      <c r="E39" s="291" t="str">
        <f>RiskList!A38&amp;": "&amp;RiskList!B38</f>
        <v xml:space="preserve">: </v>
      </c>
      <c r="F39" s="276" t="str">
        <f ca="1">IF($L39=0%,"",IF(AND($L39&gt;MatrixImpact!$C$8,$L39&lt;=MatrixImpact!$D$8),5,IF(AND($L39&gt;MatrixImpact!$C$7,$L39&lt;=MatrixImpact!$D$7),4,IF(AND($L39&gt;MatrixImpact!$C$6,$L39&lt;=MatrixImpact!$D$6),3,IF(AND($L39&gt;MatrixImpact!$C$5,$L39&lt;=MatrixImpact!$D$5),2,IF(AND($L39&gt;MatrixImpact!$C$4,$L39&lt;=MatrixImpact!$D$4),1,""))))))</f>
        <v/>
      </c>
      <c r="G39" s="292" t="str">
        <f ca="1">IF($P39&gt;MatrixImpact!$C$14,5,IF(AND($P39&gt;MatrixImpact!$C$13,$P39&lt;=MatrixImpact!$D$13),4,IF(AND($P39&gt;MatrixImpact!$C$12,$P39&lt;=MatrixImpact!$D$12),3,IF(AND($P39&gt;MatrixImpact!$C$11,$P39&lt;=MatrixImpact!$D$11),2,IF(AND($P39&gt;MatrixImpact!$C$10,$P39&lt;=MatrixImpact!$D$10),1,"")))))</f>
        <v/>
      </c>
      <c r="H39" s="293">
        <f t="shared" ca="1" si="0"/>
        <v>0</v>
      </c>
      <c r="J39" s="279">
        <f t="shared" si="1"/>
        <v>37</v>
      </c>
      <c r="K39" s="280" t="str">
        <f ca="1">IF(F39=MatrixImpact!$B$4,MatrixImpact!$C$4,IF(F39=MatrixImpact!$B$5,MatrixImpact!$C$5,IF(F39=MatrixImpact!$B$6,MatrixImpact!$C$6,IF(F39=MatrixImpact!$B$7,MatrixImpact!$C$7,IF(F39=MatrixImpact!$B$8,MatrixImpact!$C$8,"")))))</f>
        <v/>
      </c>
      <c r="L39" s="281">
        <f t="shared" ca="1" si="2"/>
        <v>0</v>
      </c>
      <c r="M39" s="280" t="str">
        <f ca="1">IF(F39=MatrixImpact!$B$4,MatrixImpact!$D$4,IF(F39=MatrixImpact!$B$5,MatrixImpact!$D$5,IF(F39=MatrixImpact!$B$6,MatrixImpact!$D$6,IF(F39=MatrixImpact!$B$7,MatrixImpact!$D$7,IF(F39=MatrixImpact!$B$8,MatrixImpact!$D$8,"")))))</f>
        <v/>
      </c>
      <c r="N39" s="282"/>
      <c r="O39" s="283" t="str">
        <f ca="1">IF(G39=MatrixImpact!$B$10,MatrixImpact!$C$10,IF(G39=MatrixImpact!$B$11,MatrixImpact!$C$11,IF(G39=MatrixImpact!$B$12,MatrixImpact!$C$12,IF(G39=MatrixImpact!$B$13,MatrixImpact!$C$13,IF(G39=MatrixImpact!$B$14,MatrixImpact!$C$14,"")))))</f>
        <v/>
      </c>
      <c r="P39" s="284">
        <f t="shared" ca="1" si="3"/>
        <v>0</v>
      </c>
      <c r="Q39" s="283" t="str">
        <f ca="1">IF(IF(G39=MatrixImpact!$B$10,MatrixImpact!$D$10,IF(G39=MatrixImpact!$B$11,MatrixImpact!$D$11,IF(G39=MatrixImpact!$B$12,MatrixImpact!$D$12,IF(G39=MatrixImpact!$B$13,MatrixImpact!$D$13,IF(G39=MatrixImpact!$B$14,MatrixImpact!$D$14,"")))))&lt;P39,P39,IF(G39=MatrixImpact!$B$10,MatrixImpact!$D$10,IF(G39=MatrixImpact!$B$11,MatrixImpact!$D$11,IF(G39=MatrixImpact!$B$12,MatrixImpact!$D$12,IF(G39=MatrixImpact!$B$13,MatrixImpact!$D$13,IF(G39=MatrixImpact!$B$14,MatrixImpact!$D$14,""))))))</f>
        <v/>
      </c>
      <c r="R39" s="285"/>
      <c r="S39" s="283">
        <f t="shared" si="4"/>
        <v>0</v>
      </c>
      <c r="W39" s="287"/>
      <c r="X39" s="287"/>
      <c r="Y39" s="287"/>
      <c r="AH39" s="21" t="s">
        <v>751</v>
      </c>
    </row>
    <row r="40" spans="2:34" ht="15" customHeight="1" x14ac:dyDescent="0.25">
      <c r="B40" s="288">
        <v>38</v>
      </c>
      <c r="C40" s="289"/>
      <c r="D40" s="290"/>
      <c r="E40" s="291" t="str">
        <f>RiskList!A39&amp;": "&amp;RiskList!B39</f>
        <v xml:space="preserve">: </v>
      </c>
      <c r="F40" s="276" t="str">
        <f ca="1">IF($L40=0%,"",IF(AND($L40&gt;MatrixImpact!$C$8,$L40&lt;=MatrixImpact!$D$8),5,IF(AND($L40&gt;MatrixImpact!$C$7,$L40&lt;=MatrixImpact!$D$7),4,IF(AND($L40&gt;MatrixImpact!$C$6,$L40&lt;=MatrixImpact!$D$6),3,IF(AND($L40&gt;MatrixImpact!$C$5,$L40&lt;=MatrixImpact!$D$5),2,IF(AND($L40&gt;MatrixImpact!$C$4,$L40&lt;=MatrixImpact!$D$4),1,""))))))</f>
        <v/>
      </c>
      <c r="G40" s="292" t="str">
        <f ca="1">IF($P40&gt;MatrixImpact!$C$14,5,IF(AND($P40&gt;MatrixImpact!$C$13,$P40&lt;=MatrixImpact!$D$13),4,IF(AND($P40&gt;MatrixImpact!$C$12,$P40&lt;=MatrixImpact!$D$12),3,IF(AND($P40&gt;MatrixImpact!$C$11,$P40&lt;=MatrixImpact!$D$11),2,IF(AND($P40&gt;MatrixImpact!$C$10,$P40&lt;=MatrixImpact!$D$10),1,"")))))</f>
        <v/>
      </c>
      <c r="H40" s="293">
        <f t="shared" ca="1" si="0"/>
        <v>0</v>
      </c>
      <c r="J40" s="279">
        <f t="shared" si="1"/>
        <v>38</v>
      </c>
      <c r="K40" s="280" t="str">
        <f ca="1">IF(F40=MatrixImpact!$B$4,MatrixImpact!$C$4,IF(F40=MatrixImpact!$B$5,MatrixImpact!$C$5,IF(F40=MatrixImpact!$B$6,MatrixImpact!$C$6,IF(F40=MatrixImpact!$B$7,MatrixImpact!$C$7,IF(F40=MatrixImpact!$B$8,MatrixImpact!$C$8,"")))))</f>
        <v/>
      </c>
      <c r="L40" s="281">
        <f t="shared" ca="1" si="2"/>
        <v>0</v>
      </c>
      <c r="M40" s="280" t="str">
        <f ca="1">IF(F40=MatrixImpact!$B$4,MatrixImpact!$D$4,IF(F40=MatrixImpact!$B$5,MatrixImpact!$D$5,IF(F40=MatrixImpact!$B$6,MatrixImpact!$D$6,IF(F40=MatrixImpact!$B$7,MatrixImpact!$D$7,IF(F40=MatrixImpact!$B$8,MatrixImpact!$D$8,"")))))</f>
        <v/>
      </c>
      <c r="N40" s="282"/>
      <c r="O40" s="283" t="str">
        <f ca="1">IF(G40=MatrixImpact!$B$10,MatrixImpact!$C$10,IF(G40=MatrixImpact!$B$11,MatrixImpact!$C$11,IF(G40=MatrixImpact!$B$12,MatrixImpact!$C$12,IF(G40=MatrixImpact!$B$13,MatrixImpact!$C$13,IF(G40=MatrixImpact!$B$14,MatrixImpact!$C$14,"")))))</f>
        <v/>
      </c>
      <c r="P40" s="284">
        <f t="shared" ca="1" si="3"/>
        <v>0</v>
      </c>
      <c r="Q40" s="283" t="str">
        <f ca="1">IF(IF(G40=MatrixImpact!$B$10,MatrixImpact!$D$10,IF(G40=MatrixImpact!$B$11,MatrixImpact!$D$11,IF(G40=MatrixImpact!$B$12,MatrixImpact!$D$12,IF(G40=MatrixImpact!$B$13,MatrixImpact!$D$13,IF(G40=MatrixImpact!$B$14,MatrixImpact!$D$14,"")))))&lt;P40,P40,IF(G40=MatrixImpact!$B$10,MatrixImpact!$D$10,IF(G40=MatrixImpact!$B$11,MatrixImpact!$D$11,IF(G40=MatrixImpact!$B$12,MatrixImpact!$D$12,IF(G40=MatrixImpact!$B$13,MatrixImpact!$D$13,IF(G40=MatrixImpact!$B$14,MatrixImpact!$D$14,""))))))</f>
        <v/>
      </c>
      <c r="R40" s="285"/>
      <c r="S40" s="283">
        <f t="shared" si="4"/>
        <v>0</v>
      </c>
      <c r="W40" s="287"/>
      <c r="X40" s="287"/>
      <c r="Y40" s="287"/>
      <c r="AH40" s="21" t="s">
        <v>752</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A1B9A"/>
    <pageSetUpPr fitToPage="1"/>
  </sheetPr>
  <dimension ref="A1:E37"/>
  <sheetViews>
    <sheetView zoomScaleNormal="100" workbookViewId="0">
      <selection sqref="A1:E1"/>
    </sheetView>
  </sheetViews>
  <sheetFormatPr defaultColWidth="8.7109375" defaultRowHeight="15" x14ac:dyDescent="0.25"/>
  <cols>
    <col min="1" max="1" width="30" customWidth="1"/>
    <col min="2" max="4" width="18" customWidth="1"/>
    <col min="5" max="5" width="40" customWidth="1"/>
  </cols>
  <sheetData>
    <row r="1" spans="1:5" ht="17.25" customHeight="1" x14ac:dyDescent="0.25">
      <c r="A1" s="429" t="s">
        <v>755</v>
      </c>
      <c r="B1" s="429"/>
      <c r="C1" s="429"/>
      <c r="D1" s="429"/>
      <c r="E1" s="429"/>
    </row>
    <row r="2" spans="1:5" ht="15" customHeight="1" x14ac:dyDescent="0.25">
      <c r="A2" s="398" t="s">
        <v>756</v>
      </c>
      <c r="B2" s="398"/>
      <c r="C2" s="398"/>
      <c r="D2" s="398"/>
      <c r="E2" s="398"/>
    </row>
    <row r="4" spans="1:5" ht="15" customHeight="1" x14ac:dyDescent="0.25">
      <c r="A4" s="395" t="s">
        <v>757</v>
      </c>
      <c r="B4" s="395"/>
      <c r="C4" s="395"/>
      <c r="D4" s="395"/>
      <c r="E4" s="395"/>
    </row>
    <row r="5" spans="1:5" ht="30" customHeight="1" x14ac:dyDescent="0.25">
      <c r="A5" s="45" t="s">
        <v>196</v>
      </c>
      <c r="B5" s="45" t="s">
        <v>41</v>
      </c>
      <c r="C5" s="45" t="s">
        <v>758</v>
      </c>
      <c r="D5" s="45" t="s">
        <v>42</v>
      </c>
      <c r="E5" s="45" t="s">
        <v>136</v>
      </c>
    </row>
    <row r="6" spans="1:5" ht="15" customHeight="1" x14ac:dyDescent="0.25">
      <c r="A6" s="40" t="s">
        <v>759</v>
      </c>
      <c r="B6" s="294">
        <f>CORE!B10</f>
        <v>50</v>
      </c>
      <c r="C6" s="43" t="s">
        <v>760</v>
      </c>
      <c r="D6" s="43" t="s">
        <v>761</v>
      </c>
      <c r="E6" s="44" t="s">
        <v>762</v>
      </c>
    </row>
    <row r="7" spans="1:5" ht="15" customHeight="1" x14ac:dyDescent="0.25">
      <c r="A7" s="40" t="s">
        <v>78</v>
      </c>
      <c r="B7" s="295">
        <f>CORE!B9</f>
        <v>0.95</v>
      </c>
      <c r="C7" s="43" t="s">
        <v>760</v>
      </c>
      <c r="D7" s="43" t="s">
        <v>763</v>
      </c>
      <c r="E7" s="44" t="s">
        <v>764</v>
      </c>
    </row>
    <row r="8" spans="1:5" ht="15" customHeight="1" x14ac:dyDescent="0.25">
      <c r="A8" s="40" t="s">
        <v>765</v>
      </c>
      <c r="B8" s="215">
        <f>Calibration!C20</f>
        <v>9.2999999999999999E-2</v>
      </c>
      <c r="C8" s="43" t="s">
        <v>766</v>
      </c>
      <c r="D8" s="43" t="s">
        <v>767</v>
      </c>
      <c r="E8" s="44" t="s">
        <v>768</v>
      </c>
    </row>
    <row r="9" spans="1:5" ht="15" customHeight="1" x14ac:dyDescent="0.25">
      <c r="A9" s="40" t="s">
        <v>769</v>
      </c>
      <c r="B9" s="215">
        <f>Company_RI!D30</f>
        <v>0.19345000000000001</v>
      </c>
      <c r="C9" s="43" t="s">
        <v>770</v>
      </c>
      <c r="D9" s="43" t="s">
        <v>771</v>
      </c>
      <c r="E9" s="44" t="s">
        <v>772</v>
      </c>
    </row>
    <row r="10" spans="1:5" ht="15" customHeight="1" x14ac:dyDescent="0.25">
      <c r="A10" s="40" t="s">
        <v>773</v>
      </c>
      <c r="B10" s="215">
        <f>Company_SMI!D27</f>
        <v>0.20575000000000002</v>
      </c>
      <c r="C10" s="43" t="s">
        <v>774</v>
      </c>
      <c r="D10" s="43" t="s">
        <v>775</v>
      </c>
      <c r="E10" s="44" t="s">
        <v>776</v>
      </c>
    </row>
    <row r="11" spans="1:5" ht="15" customHeight="1" x14ac:dyDescent="0.25">
      <c r="A11" s="40" t="s">
        <v>777</v>
      </c>
      <c r="B11" s="294">
        <f>1+0.5*Coherence_Density!D20</f>
        <v>1.1274999999999999</v>
      </c>
      <c r="C11" s="43" t="s">
        <v>778</v>
      </c>
      <c r="D11" s="43" t="s">
        <v>779</v>
      </c>
      <c r="E11" s="44" t="s">
        <v>780</v>
      </c>
    </row>
    <row r="12" spans="1:5" ht="15" customHeight="1" x14ac:dyDescent="0.25">
      <c r="A12" s="40" t="s">
        <v>781</v>
      </c>
      <c r="B12" s="294" t="s">
        <v>782</v>
      </c>
      <c r="C12" s="43" t="s">
        <v>783</v>
      </c>
      <c r="D12" s="43"/>
      <c r="E12" s="44" t="s">
        <v>784</v>
      </c>
    </row>
    <row r="13" spans="1:5" ht="15" customHeight="1" x14ac:dyDescent="0.25">
      <c r="A13" s="40" t="s">
        <v>785</v>
      </c>
      <c r="B13" s="294" t="s">
        <v>786</v>
      </c>
      <c r="C13" s="43" t="s">
        <v>783</v>
      </c>
      <c r="D13" s="43"/>
      <c r="E13" s="44" t="s">
        <v>787</v>
      </c>
    </row>
    <row r="14" spans="1:5" ht="15" customHeight="1" x14ac:dyDescent="0.25">
      <c r="A14" s="40" t="s">
        <v>788</v>
      </c>
      <c r="B14" s="294" t="s">
        <v>789</v>
      </c>
      <c r="C14" s="43" t="s">
        <v>790</v>
      </c>
      <c r="D14" s="43"/>
      <c r="E14" s="44" t="s">
        <v>791</v>
      </c>
    </row>
    <row r="17" spans="1:5" ht="15" customHeight="1" x14ac:dyDescent="0.25">
      <c r="A17" s="395" t="s">
        <v>792</v>
      </c>
      <c r="B17" s="395"/>
      <c r="C17" s="395"/>
      <c r="D17" s="395"/>
      <c r="E17" s="395"/>
    </row>
    <row r="18" spans="1:5" ht="30" customHeight="1" x14ac:dyDescent="0.25">
      <c r="A18" s="45" t="s">
        <v>793</v>
      </c>
      <c r="B18" s="45" t="s">
        <v>794</v>
      </c>
      <c r="C18" s="45" t="s">
        <v>795</v>
      </c>
      <c r="D18" s="45" t="s">
        <v>796</v>
      </c>
      <c r="E18" s="45" t="s">
        <v>797</v>
      </c>
    </row>
    <row r="19" spans="1:5" ht="15" customHeight="1" x14ac:dyDescent="0.25">
      <c r="A19" s="41"/>
      <c r="B19" s="41"/>
      <c r="C19" s="41"/>
      <c r="D19" s="41"/>
      <c r="E19" s="41"/>
    </row>
    <row r="20" spans="1:5" ht="15" customHeight="1" x14ac:dyDescent="0.25">
      <c r="A20" s="41"/>
      <c r="B20" s="41"/>
      <c r="C20" s="41"/>
      <c r="D20" s="41"/>
      <c r="E20" s="41"/>
    </row>
    <row r="21" spans="1:5" ht="15" customHeight="1" x14ac:dyDescent="0.25">
      <c r="A21" s="41"/>
      <c r="B21" s="41"/>
      <c r="C21" s="41"/>
      <c r="D21" s="41"/>
      <c r="E21" s="41"/>
    </row>
    <row r="22" spans="1:5" ht="15" customHeight="1" x14ac:dyDescent="0.25">
      <c r="A22" s="41"/>
      <c r="B22" s="41"/>
      <c r="C22" s="41"/>
      <c r="D22" s="41"/>
      <c r="E22" s="41"/>
    </row>
    <row r="23" spans="1:5" ht="15" customHeight="1" x14ac:dyDescent="0.25">
      <c r="A23" s="41"/>
      <c r="B23" s="41"/>
      <c r="C23" s="41"/>
      <c r="D23" s="41"/>
      <c r="E23" s="41"/>
    </row>
    <row r="24" spans="1:5" ht="15" customHeight="1" x14ac:dyDescent="0.25">
      <c r="A24" s="41"/>
      <c r="B24" s="41"/>
      <c r="C24" s="41"/>
      <c r="D24" s="41"/>
      <c r="E24" s="41"/>
    </row>
    <row r="27" spans="1:5" ht="15" customHeight="1" x14ac:dyDescent="0.25">
      <c r="A27" s="395" t="s">
        <v>798</v>
      </c>
      <c r="B27" s="395"/>
      <c r="C27" s="395"/>
      <c r="D27" s="395"/>
      <c r="E27" s="395"/>
    </row>
    <row r="28" spans="1:5" ht="15" customHeight="1" x14ac:dyDescent="0.25">
      <c r="A28" s="255" t="s">
        <v>799</v>
      </c>
    </row>
    <row r="29" spans="1:5" ht="15" customHeight="1" x14ac:dyDescent="0.25">
      <c r="A29" s="432" t="s">
        <v>800</v>
      </c>
      <c r="B29" s="432"/>
      <c r="C29" s="432"/>
      <c r="D29" s="432"/>
      <c r="E29" s="432"/>
    </row>
    <row r="30" spans="1:5" ht="15" customHeight="1" x14ac:dyDescent="0.25">
      <c r="A30" s="255" t="s">
        <v>801</v>
      </c>
    </row>
    <row r="31" spans="1:5" ht="15" customHeight="1" x14ac:dyDescent="0.25">
      <c r="A31" s="432" t="s">
        <v>802</v>
      </c>
      <c r="B31" s="432"/>
      <c r="C31" s="432"/>
      <c r="D31" s="432"/>
      <c r="E31" s="432"/>
    </row>
    <row r="32" spans="1:5" ht="15" customHeight="1" x14ac:dyDescent="0.25">
      <c r="A32" s="255" t="s">
        <v>803</v>
      </c>
    </row>
    <row r="33" spans="1:5" ht="15" customHeight="1" x14ac:dyDescent="0.25">
      <c r="A33" s="432" t="s">
        <v>804</v>
      </c>
      <c r="B33" s="432"/>
      <c r="C33" s="432"/>
      <c r="D33" s="432"/>
      <c r="E33" s="432"/>
    </row>
    <row r="34" spans="1:5" ht="15" customHeight="1" x14ac:dyDescent="0.25">
      <c r="A34" s="255" t="s">
        <v>805</v>
      </c>
    </row>
    <row r="35" spans="1:5" ht="15" customHeight="1" x14ac:dyDescent="0.25">
      <c r="A35" s="432" t="s">
        <v>806</v>
      </c>
      <c r="B35" s="432"/>
      <c r="C35" s="432"/>
      <c r="D35" s="432"/>
      <c r="E35" s="432"/>
    </row>
    <row r="36" spans="1:5" ht="15" customHeight="1" x14ac:dyDescent="0.25">
      <c r="A36" s="255" t="s">
        <v>807</v>
      </c>
    </row>
    <row r="37" spans="1:5" ht="15" customHeight="1" x14ac:dyDescent="0.25">
      <c r="A37" s="432" t="s">
        <v>808</v>
      </c>
      <c r="B37" s="432"/>
      <c r="C37" s="432"/>
      <c r="D37" s="432"/>
      <c r="E37" s="432"/>
    </row>
  </sheetData>
  <mergeCells count="10">
    <mergeCell ref="A29:E29"/>
    <mergeCell ref="A31:E31"/>
    <mergeCell ref="A33:E33"/>
    <mergeCell ref="A35:E35"/>
    <mergeCell ref="A37:E37"/>
    <mergeCell ref="A1:E1"/>
    <mergeCell ref="A2:E2"/>
    <mergeCell ref="A4:E4"/>
    <mergeCell ref="A17:E17"/>
    <mergeCell ref="A27:E27"/>
  </mergeCells>
  <pageMargins left="0.75" right="0.75" top="1" bottom="1" header="0.511811023622047" footer="0.511811023622047"/>
  <pageSetup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B2A4A"/>
    <pageSetUpPr fitToPage="1"/>
  </sheetPr>
  <dimension ref="A1:I114"/>
  <sheetViews>
    <sheetView zoomScaleNormal="100" workbookViewId="0">
      <pane ySplit="4" topLeftCell="A68" activePane="bottomLeft" state="frozen"/>
      <selection pane="bottomLeft" sqref="A1:G1"/>
    </sheetView>
  </sheetViews>
  <sheetFormatPr defaultColWidth="8.7109375" defaultRowHeight="15" x14ac:dyDescent="0.25"/>
  <cols>
    <col min="1" max="1" width="18" customWidth="1"/>
    <col min="2" max="4" width="14" customWidth="1"/>
    <col min="5" max="5" width="18" customWidth="1"/>
    <col min="6" max="7" width="14" customWidth="1"/>
    <col min="8" max="8" width="9" customWidth="1"/>
    <col min="9" max="9" width="10" customWidth="1"/>
  </cols>
  <sheetData>
    <row r="1" spans="1:9" ht="17.25" customHeight="1" x14ac:dyDescent="0.25">
      <c r="A1" s="399" t="s">
        <v>809</v>
      </c>
      <c r="B1" s="399"/>
      <c r="C1" s="399"/>
      <c r="D1" s="399"/>
      <c r="E1" s="399"/>
      <c r="F1" s="399"/>
      <c r="G1" s="399"/>
    </row>
    <row r="2" spans="1:9" ht="15" customHeight="1" x14ac:dyDescent="0.25">
      <c r="A2" s="398" t="s">
        <v>810</v>
      </c>
      <c r="B2" s="398"/>
      <c r="C2" s="398"/>
      <c r="D2" s="398"/>
      <c r="E2" s="398"/>
      <c r="F2" s="398"/>
      <c r="G2" s="398"/>
    </row>
    <row r="4" spans="1:9" ht="30" customHeight="1" x14ac:dyDescent="0.25">
      <c r="A4" s="296" t="s">
        <v>811</v>
      </c>
      <c r="B4" s="296" t="s">
        <v>812</v>
      </c>
      <c r="C4" s="52" t="s">
        <v>813</v>
      </c>
      <c r="D4" s="52" t="s">
        <v>814</v>
      </c>
      <c r="E4" s="296" t="s">
        <v>815</v>
      </c>
      <c r="F4" s="296" t="s">
        <v>135</v>
      </c>
      <c r="G4" s="296" t="s">
        <v>816</v>
      </c>
      <c r="H4" s="52" t="s">
        <v>817</v>
      </c>
      <c r="I4" s="52" t="s">
        <v>818</v>
      </c>
    </row>
    <row r="5" spans="1:9" ht="15" customHeight="1" x14ac:dyDescent="0.25">
      <c r="A5" s="297" t="s">
        <v>680</v>
      </c>
      <c r="B5" s="297" t="s">
        <v>819</v>
      </c>
      <c r="C5" s="298">
        <f>RADAR_Examples!B5</f>
        <v>0.24729999999999999</v>
      </c>
      <c r="D5" s="298">
        <f>RADAR_Examples!I5</f>
        <v>0.55736429705305468</v>
      </c>
      <c r="E5" s="299">
        <f>RADAR_Examples!D5</f>
        <v>80</v>
      </c>
      <c r="F5" s="297" t="s">
        <v>820</v>
      </c>
      <c r="G5" s="300" t="str">
        <f>RADAR_Examples!J5</f>
        <v>VALID</v>
      </c>
      <c r="H5" s="301">
        <f>RADAR_Examples!K5</f>
        <v>0.125</v>
      </c>
      <c r="I5" s="302">
        <f>ROUND(TANH(H5*Calibration!$C$26),4)</f>
        <v>0.24729999999999999</v>
      </c>
    </row>
    <row r="6" spans="1:9" ht="15" customHeight="1" x14ac:dyDescent="0.25">
      <c r="A6" s="303" t="s">
        <v>680</v>
      </c>
      <c r="B6" s="303" t="s">
        <v>821</v>
      </c>
      <c r="C6" s="304">
        <f>RADAR_Examples!B6</f>
        <v>0.46600000000000003</v>
      </c>
      <c r="D6" s="304">
        <f>RADAR_Examples!I6</f>
        <v>0.39688628557124661</v>
      </c>
      <c r="E6" s="305">
        <f>RADAR_Examples!D6</f>
        <v>100</v>
      </c>
      <c r="F6" s="303" t="s">
        <v>820</v>
      </c>
      <c r="G6" s="306" t="str">
        <f>RADAR_Examples!J6</f>
        <v>VALID</v>
      </c>
      <c r="H6" s="301">
        <f>RADAR_Examples!K6</f>
        <v>0.25</v>
      </c>
      <c r="I6" s="302">
        <f>ROUND(TANH(H6*Calibration!$C$26),4)</f>
        <v>0.46600000000000003</v>
      </c>
    </row>
    <row r="7" spans="1:9" ht="15" customHeight="1" x14ac:dyDescent="0.25">
      <c r="A7" s="297" t="s">
        <v>680</v>
      </c>
      <c r="B7" s="297" t="s">
        <v>822</v>
      </c>
      <c r="C7" s="298">
        <f>RADAR_Examples!B7</f>
        <v>0.63959999999999995</v>
      </c>
      <c r="D7" s="298">
        <f>RADAR_Examples!I7</f>
        <v>0.27187610606665841</v>
      </c>
      <c r="E7" s="299">
        <f>RADAR_Examples!D7</f>
        <v>130</v>
      </c>
      <c r="F7" s="297" t="s">
        <v>820</v>
      </c>
      <c r="G7" s="300" t="str">
        <f>RADAR_Examples!J7</f>
        <v>VALID</v>
      </c>
      <c r="H7" s="301">
        <f>RADAR_Examples!K7</f>
        <v>0.375</v>
      </c>
      <c r="I7" s="302">
        <f>ROUND(TANH(H7*Calibration!$C$26),4)</f>
        <v>0.63959999999999995</v>
      </c>
    </row>
    <row r="8" spans="1:9" ht="15" customHeight="1" x14ac:dyDescent="0.25">
      <c r="A8" s="303" t="s">
        <v>680</v>
      </c>
      <c r="B8" s="303" t="s">
        <v>823</v>
      </c>
      <c r="C8" s="304">
        <f>RADAR_Examples!B8</f>
        <v>0.76580000000000004</v>
      </c>
      <c r="D8" s="304">
        <f>RADAR_Examples!I8</f>
        <v>0.1783653513248401</v>
      </c>
      <c r="E8" s="305">
        <f>RADAR_Examples!D8</f>
        <v>150</v>
      </c>
      <c r="F8" s="303" t="s">
        <v>820</v>
      </c>
      <c r="G8" s="306" t="str">
        <f>RADAR_Examples!J8</f>
        <v>VALID</v>
      </c>
      <c r="H8" s="301">
        <f>RADAR_Examples!K8</f>
        <v>0.5</v>
      </c>
      <c r="I8" s="302">
        <f>ROUND(TANH(H8*Calibration!$C$26),4)</f>
        <v>0.76580000000000004</v>
      </c>
    </row>
    <row r="9" spans="1:9" ht="15" customHeight="1" x14ac:dyDescent="0.25">
      <c r="A9" s="297" t="s">
        <v>680</v>
      </c>
      <c r="B9" s="297" t="s">
        <v>824</v>
      </c>
      <c r="C9" s="298">
        <f>RADAR_Examples!B9</f>
        <v>0.8518</v>
      </c>
      <c r="D9" s="298">
        <f>RADAR_Examples!I9</f>
        <v>0.11286825391264435</v>
      </c>
      <c r="E9" s="299">
        <f>RADAR_Examples!D9</f>
        <v>170</v>
      </c>
      <c r="F9" s="297" t="s">
        <v>820</v>
      </c>
      <c r="G9" s="300" t="str">
        <f>RADAR_Examples!J9</f>
        <v>VALID</v>
      </c>
      <c r="H9" s="301">
        <f>RADAR_Examples!K9</f>
        <v>0.625</v>
      </c>
      <c r="I9" s="302">
        <f>ROUND(TANH(H9*Calibration!$C$26),4)</f>
        <v>0.8518</v>
      </c>
    </row>
    <row r="10" spans="1:9" ht="15" customHeight="1" x14ac:dyDescent="0.25">
      <c r="A10" s="303" t="s">
        <v>680</v>
      </c>
      <c r="B10" s="303" t="s">
        <v>825</v>
      </c>
      <c r="C10" s="304">
        <f>RADAR_Examples!B10</f>
        <v>0.90780000000000005</v>
      </c>
      <c r="D10" s="304">
        <f>RADAR_Examples!I10</f>
        <v>7.0218981179121481E-2</v>
      </c>
      <c r="E10" s="305">
        <f>RADAR_Examples!D10</f>
        <v>180</v>
      </c>
      <c r="F10" s="303" t="s">
        <v>820</v>
      </c>
      <c r="G10" s="306" t="str">
        <f>RADAR_Examples!J10</f>
        <v>VALID</v>
      </c>
      <c r="H10" s="301">
        <f>RADAR_Examples!K10</f>
        <v>0.75</v>
      </c>
      <c r="I10" s="302">
        <f>ROUND(TANH(H10*Calibration!$C$26),4)</f>
        <v>0.90780000000000005</v>
      </c>
    </row>
    <row r="11" spans="1:9" ht="15" customHeight="1" x14ac:dyDescent="0.25">
      <c r="A11" s="297" t="s">
        <v>680</v>
      </c>
      <c r="B11" s="297" t="s">
        <v>826</v>
      </c>
      <c r="C11" s="298">
        <f>RADAR_Examples!B11</f>
        <v>0.94330000000000003</v>
      </c>
      <c r="D11" s="298">
        <f>RADAR_Examples!I11</f>
        <v>4.3182388642691846E-2</v>
      </c>
      <c r="E11" s="299">
        <f>RADAR_Examples!D11</f>
        <v>160</v>
      </c>
      <c r="F11" s="297" t="s">
        <v>820</v>
      </c>
      <c r="G11" s="300" t="str">
        <f>RADAR_Examples!J11</f>
        <v>VALID</v>
      </c>
      <c r="H11" s="301">
        <f>RADAR_Examples!K11</f>
        <v>0.875</v>
      </c>
      <c r="I11" s="302">
        <f>ROUND(TANH(H11*Calibration!$C$26),4)</f>
        <v>0.94330000000000003</v>
      </c>
    </row>
    <row r="12" spans="1:9" ht="15" customHeight="1" x14ac:dyDescent="0.25">
      <c r="A12" s="303" t="s">
        <v>680</v>
      </c>
      <c r="B12" s="303" t="s">
        <v>827</v>
      </c>
      <c r="C12" s="304">
        <f>RADAR_Examples!B12</f>
        <v>0.96540000000000004</v>
      </c>
      <c r="D12" s="304">
        <f>RADAR_Examples!I12</f>
        <v>2.6234295029224527E-2</v>
      </c>
      <c r="E12" s="305">
        <f>RADAR_Examples!D12</f>
        <v>140</v>
      </c>
      <c r="F12" s="303" t="s">
        <v>820</v>
      </c>
      <c r="G12" s="306" t="str">
        <f>RADAR_Examples!J12</f>
        <v>VALID</v>
      </c>
      <c r="H12" s="301">
        <f>RADAR_Examples!K12</f>
        <v>1</v>
      </c>
      <c r="I12" s="302">
        <f>ROUND(TANH(H12*Calibration!$C$26),4)</f>
        <v>0.96540000000000004</v>
      </c>
    </row>
    <row r="13" spans="1:9" ht="15" customHeight="1" x14ac:dyDescent="0.25">
      <c r="A13" s="297" t="s">
        <v>681</v>
      </c>
      <c r="B13" s="297" t="s">
        <v>819</v>
      </c>
      <c r="C13" s="298">
        <f>RADAR_Examples!B17</f>
        <v>0.24729999999999999</v>
      </c>
      <c r="D13" s="298">
        <f>RADAR_Examples!I17</f>
        <v>0.5524868562168529</v>
      </c>
      <c r="E13" s="299">
        <f>RADAR_Examples!D17</f>
        <v>30</v>
      </c>
      <c r="F13" s="297" t="s">
        <v>820</v>
      </c>
      <c r="G13" s="300" t="str">
        <f>RADAR_Examples!J17</f>
        <v>VALID</v>
      </c>
      <c r="H13" s="301">
        <f>RADAR_Examples!K17</f>
        <v>0.125</v>
      </c>
      <c r="I13" s="302">
        <f>ROUND(TANH(H13*Calibration!$C$26),4)</f>
        <v>0.24729999999999999</v>
      </c>
    </row>
    <row r="14" spans="1:9" ht="15" customHeight="1" x14ac:dyDescent="0.25">
      <c r="A14" s="303" t="s">
        <v>681</v>
      </c>
      <c r="B14" s="303" t="s">
        <v>821</v>
      </c>
      <c r="C14" s="304">
        <f>RADAR_Examples!B18</f>
        <v>0.46600000000000003</v>
      </c>
      <c r="D14" s="304">
        <f>RADAR_Examples!I18</f>
        <v>0.38962849694235391</v>
      </c>
      <c r="E14" s="305">
        <f>RADAR_Examples!D18</f>
        <v>40</v>
      </c>
      <c r="F14" s="303" t="s">
        <v>820</v>
      </c>
      <c r="G14" s="306" t="str">
        <f>RADAR_Examples!J18</f>
        <v>VALID</v>
      </c>
      <c r="H14" s="301">
        <f>RADAR_Examples!K18</f>
        <v>0.25</v>
      </c>
      <c r="I14" s="302">
        <f>ROUND(TANH(H14*Calibration!$C$26),4)</f>
        <v>0.46600000000000003</v>
      </c>
    </row>
    <row r="15" spans="1:9" ht="15" customHeight="1" x14ac:dyDescent="0.25">
      <c r="A15" s="297" t="s">
        <v>681</v>
      </c>
      <c r="B15" s="297" t="s">
        <v>822</v>
      </c>
      <c r="C15" s="298">
        <f>RADAR_Examples!B19</f>
        <v>0.63959999999999995</v>
      </c>
      <c r="D15" s="298">
        <f>RADAR_Examples!I19</f>
        <v>0.26250136598148727</v>
      </c>
      <c r="E15" s="299">
        <f>RADAR_Examples!D19</f>
        <v>50</v>
      </c>
      <c r="F15" s="297" t="s">
        <v>820</v>
      </c>
      <c r="G15" s="300" t="str">
        <f>RADAR_Examples!J19</f>
        <v>VALID</v>
      </c>
      <c r="H15" s="301">
        <f>RADAR_Examples!K19</f>
        <v>0.375</v>
      </c>
      <c r="I15" s="302">
        <f>ROUND(TANH(H15*Calibration!$C$26),4)</f>
        <v>0.63959999999999995</v>
      </c>
    </row>
    <row r="16" spans="1:9" ht="15" customHeight="1" x14ac:dyDescent="0.25">
      <c r="A16" s="303" t="s">
        <v>681</v>
      </c>
      <c r="B16" s="303" t="s">
        <v>823</v>
      </c>
      <c r="C16" s="304">
        <f>RADAR_Examples!B20</f>
        <v>0.76580000000000004</v>
      </c>
      <c r="D16" s="304">
        <f>RADAR_Examples!I20</f>
        <v>0.17059159887353975</v>
      </c>
      <c r="E16" s="305">
        <f>RADAR_Examples!D20</f>
        <v>60</v>
      </c>
      <c r="F16" s="303" t="s">
        <v>820</v>
      </c>
      <c r="G16" s="306" t="str">
        <f>RADAR_Examples!J20</f>
        <v>VALID</v>
      </c>
      <c r="H16" s="301">
        <f>RADAR_Examples!K20</f>
        <v>0.5</v>
      </c>
      <c r="I16" s="302">
        <f>ROUND(TANH(H16*Calibration!$C$26),4)</f>
        <v>0.76580000000000004</v>
      </c>
    </row>
    <row r="17" spans="1:9" ht="15" customHeight="1" x14ac:dyDescent="0.25">
      <c r="A17" s="297" t="s">
        <v>681</v>
      </c>
      <c r="B17" s="297" t="s">
        <v>824</v>
      </c>
      <c r="C17" s="298">
        <f>RADAR_Examples!B21</f>
        <v>0.8518</v>
      </c>
      <c r="D17" s="298">
        <f>RADAR_Examples!I21</f>
        <v>0.10802327327679381</v>
      </c>
      <c r="E17" s="299">
        <f>RADAR_Examples!D21</f>
        <v>75</v>
      </c>
      <c r="F17" s="297" t="s">
        <v>820</v>
      </c>
      <c r="G17" s="300" t="str">
        <f>RADAR_Examples!J21</f>
        <v>VALID</v>
      </c>
      <c r="H17" s="301">
        <f>RADAR_Examples!K21</f>
        <v>0.625</v>
      </c>
      <c r="I17" s="302">
        <f>ROUND(TANH(H17*Calibration!$C$26),4)</f>
        <v>0.8518</v>
      </c>
    </row>
    <row r="18" spans="1:9" ht="15" customHeight="1" x14ac:dyDescent="0.25">
      <c r="A18" s="303" t="s">
        <v>681</v>
      </c>
      <c r="B18" s="303" t="s">
        <v>825</v>
      </c>
      <c r="C18" s="304">
        <f>RADAR_Examples!B22</f>
        <v>0.90780000000000005</v>
      </c>
      <c r="D18" s="304">
        <f>RADAR_Examples!I22</f>
        <v>6.7320543639875288E-2</v>
      </c>
      <c r="E18" s="305">
        <f>RADAR_Examples!D22</f>
        <v>85</v>
      </c>
      <c r="F18" s="303" t="s">
        <v>820</v>
      </c>
      <c r="G18" s="306" t="str">
        <f>RADAR_Examples!J22</f>
        <v>VALID</v>
      </c>
      <c r="H18" s="301">
        <f>RADAR_Examples!K22</f>
        <v>0.75</v>
      </c>
      <c r="I18" s="302">
        <f>ROUND(TANH(H18*Calibration!$C$26),4)</f>
        <v>0.90780000000000005</v>
      </c>
    </row>
    <row r="19" spans="1:9" ht="15" customHeight="1" x14ac:dyDescent="0.25">
      <c r="A19" s="297" t="s">
        <v>681</v>
      </c>
      <c r="B19" s="297" t="s">
        <v>826</v>
      </c>
      <c r="C19" s="298">
        <f>RADAR_Examples!B23</f>
        <v>0.94330000000000003</v>
      </c>
      <c r="D19" s="298">
        <f>RADAR_Examples!I23</f>
        <v>4.133533858097152E-2</v>
      </c>
      <c r="E19" s="299">
        <f>RADAR_Examples!D23</f>
        <v>90</v>
      </c>
      <c r="F19" s="297" t="s">
        <v>820</v>
      </c>
      <c r="G19" s="300" t="str">
        <f>RADAR_Examples!J23</f>
        <v>VALID</v>
      </c>
      <c r="H19" s="301">
        <f>RADAR_Examples!K23</f>
        <v>0.875</v>
      </c>
      <c r="I19" s="302">
        <f>ROUND(TANH(H19*Calibration!$C$26),4)</f>
        <v>0.94330000000000003</v>
      </c>
    </row>
    <row r="20" spans="1:9" ht="15" customHeight="1" x14ac:dyDescent="0.25">
      <c r="A20" s="303" t="s">
        <v>681</v>
      </c>
      <c r="B20" s="303" t="s">
        <v>827</v>
      </c>
      <c r="C20" s="304">
        <f>RADAR_Examples!B24</f>
        <v>0.96540000000000004</v>
      </c>
      <c r="D20" s="304">
        <f>RADAR_Examples!I24</f>
        <v>2.5212846730614503E-2</v>
      </c>
      <c r="E20" s="305">
        <f>RADAR_Examples!D24</f>
        <v>95</v>
      </c>
      <c r="F20" s="303" t="s">
        <v>820</v>
      </c>
      <c r="G20" s="306" t="str">
        <f>RADAR_Examples!J24</f>
        <v>VALID</v>
      </c>
      <c r="H20" s="301">
        <f>RADAR_Examples!K24</f>
        <v>1</v>
      </c>
      <c r="I20" s="302">
        <f>ROUND(TANH(H20*Calibration!$C$26),4)</f>
        <v>0.96540000000000004</v>
      </c>
    </row>
    <row r="21" spans="1:9" ht="15" customHeight="1" x14ac:dyDescent="0.25">
      <c r="A21" s="297" t="s">
        <v>828</v>
      </c>
      <c r="B21" s="297" t="s">
        <v>819</v>
      </c>
      <c r="C21" s="298">
        <f>RADAR_Examples!B29</f>
        <v>0.24729999999999999</v>
      </c>
      <c r="D21" s="298">
        <f>RADAR_Examples!I29</f>
        <v>0.56535977711709573</v>
      </c>
      <c r="E21" s="299">
        <f>RADAR_Examples!D29</f>
        <v>120</v>
      </c>
      <c r="F21" s="297" t="s">
        <v>820</v>
      </c>
      <c r="G21" s="300" t="str">
        <f>RADAR_Examples!J29</f>
        <v>VALID</v>
      </c>
      <c r="H21" s="301">
        <f>RADAR_Examples!K29</f>
        <v>0.125</v>
      </c>
      <c r="I21" s="302">
        <f>ROUND(TANH(H21*Calibration!$C$26),4)</f>
        <v>0.24729999999999999</v>
      </c>
    </row>
    <row r="22" spans="1:9" ht="15" customHeight="1" x14ac:dyDescent="0.25">
      <c r="A22" s="303" t="s">
        <v>828</v>
      </c>
      <c r="B22" s="303" t="s">
        <v>821</v>
      </c>
      <c r="C22" s="304">
        <f>RADAR_Examples!B30</f>
        <v>0.46600000000000003</v>
      </c>
      <c r="D22" s="304">
        <f>RADAR_Examples!I30</f>
        <v>0.40669127928037846</v>
      </c>
      <c r="E22" s="305">
        <f>RADAR_Examples!D30</f>
        <v>150</v>
      </c>
      <c r="F22" s="303" t="s">
        <v>820</v>
      </c>
      <c r="G22" s="306" t="str">
        <f>RADAR_Examples!J30</f>
        <v>VALID</v>
      </c>
      <c r="H22" s="301">
        <f>RADAR_Examples!K30</f>
        <v>0.25</v>
      </c>
      <c r="I22" s="302">
        <f>ROUND(TANH(H22*Calibration!$C$26),4)</f>
        <v>0.46600000000000003</v>
      </c>
    </row>
    <row r="23" spans="1:9" ht="15" customHeight="1" x14ac:dyDescent="0.25">
      <c r="A23" s="297" t="s">
        <v>828</v>
      </c>
      <c r="B23" s="297" t="s">
        <v>822</v>
      </c>
      <c r="C23" s="298">
        <f>RADAR_Examples!B31</f>
        <v>0.63959999999999995</v>
      </c>
      <c r="D23" s="298">
        <f>RADAR_Examples!I31</f>
        <v>0.2744785338064577</v>
      </c>
      <c r="E23" s="299">
        <f>RADAR_Examples!D31</f>
        <v>180</v>
      </c>
      <c r="F23" s="297" t="s">
        <v>820</v>
      </c>
      <c r="G23" s="300" t="str">
        <f>RADAR_Examples!J31</f>
        <v>VALID</v>
      </c>
      <c r="H23" s="301">
        <f>RADAR_Examples!K31</f>
        <v>0.375</v>
      </c>
      <c r="I23" s="302">
        <f>ROUND(TANH(H23*Calibration!$C$26),4)</f>
        <v>0.63959999999999995</v>
      </c>
    </row>
    <row r="24" spans="1:9" ht="15" customHeight="1" x14ac:dyDescent="0.25">
      <c r="A24" s="303" t="s">
        <v>828</v>
      </c>
      <c r="B24" s="303" t="s">
        <v>823</v>
      </c>
      <c r="C24" s="304">
        <f>RADAR_Examples!B32</f>
        <v>0.76580000000000004</v>
      </c>
      <c r="D24" s="304">
        <f>RADAR_Examples!I32</f>
        <v>0.1783653513248401</v>
      </c>
      <c r="E24" s="305">
        <f>RADAR_Examples!D32</f>
        <v>200</v>
      </c>
      <c r="F24" s="303" t="s">
        <v>820</v>
      </c>
      <c r="G24" s="306" t="str">
        <f>RADAR_Examples!J32</f>
        <v>VALID</v>
      </c>
      <c r="H24" s="301">
        <f>RADAR_Examples!K32</f>
        <v>0.5</v>
      </c>
      <c r="I24" s="302">
        <f>ROUND(TANH(H24*Calibration!$C$26),4)</f>
        <v>0.76580000000000004</v>
      </c>
    </row>
    <row r="25" spans="1:9" ht="15" customHeight="1" x14ac:dyDescent="0.25">
      <c r="A25" s="297" t="s">
        <v>828</v>
      </c>
      <c r="B25" s="297" t="s">
        <v>824</v>
      </c>
      <c r="C25" s="298">
        <f>RADAR_Examples!B33</f>
        <v>0.8518</v>
      </c>
      <c r="D25" s="298">
        <f>RADAR_Examples!I33</f>
        <v>0.11286825391264435</v>
      </c>
      <c r="E25" s="299">
        <f>RADAR_Examples!D33</f>
        <v>220</v>
      </c>
      <c r="F25" s="297" t="s">
        <v>820</v>
      </c>
      <c r="G25" s="300" t="str">
        <f>RADAR_Examples!J33</f>
        <v>VALID</v>
      </c>
      <c r="H25" s="301">
        <f>RADAR_Examples!K33</f>
        <v>0.625</v>
      </c>
      <c r="I25" s="302">
        <f>ROUND(TANH(H25*Calibration!$C$26),4)</f>
        <v>0.8518</v>
      </c>
    </row>
    <row r="26" spans="1:9" ht="15" customHeight="1" x14ac:dyDescent="0.25">
      <c r="A26" s="303" t="s">
        <v>828</v>
      </c>
      <c r="B26" s="303" t="s">
        <v>825</v>
      </c>
      <c r="C26" s="304">
        <f>RADAR_Examples!B34</f>
        <v>0.90780000000000005</v>
      </c>
      <c r="D26" s="304">
        <f>RADAR_Examples!I34</f>
        <v>7.0218981179121481E-2</v>
      </c>
      <c r="E26" s="305">
        <f>RADAR_Examples!D34</f>
        <v>210</v>
      </c>
      <c r="F26" s="303" t="s">
        <v>820</v>
      </c>
      <c r="G26" s="306" t="str">
        <f>RADAR_Examples!J34</f>
        <v>VALID</v>
      </c>
      <c r="H26" s="301">
        <f>RADAR_Examples!K34</f>
        <v>0.75</v>
      </c>
      <c r="I26" s="302">
        <f>ROUND(TANH(H26*Calibration!$C$26),4)</f>
        <v>0.90780000000000005</v>
      </c>
    </row>
    <row r="27" spans="1:9" ht="15" customHeight="1" x14ac:dyDescent="0.25">
      <c r="A27" s="297" t="s">
        <v>828</v>
      </c>
      <c r="B27" s="297" t="s">
        <v>826</v>
      </c>
      <c r="C27" s="298">
        <f>RADAR_Examples!B35</f>
        <v>0.94330000000000003</v>
      </c>
      <c r="D27" s="298">
        <f>RADAR_Examples!I35</f>
        <v>4.3182388642691846E-2</v>
      </c>
      <c r="E27" s="299">
        <f>RADAR_Examples!D35</f>
        <v>190</v>
      </c>
      <c r="F27" s="297" t="s">
        <v>820</v>
      </c>
      <c r="G27" s="300" t="str">
        <f>RADAR_Examples!J35</f>
        <v>VALID</v>
      </c>
      <c r="H27" s="301">
        <f>RADAR_Examples!K35</f>
        <v>0.875</v>
      </c>
      <c r="I27" s="302">
        <f>ROUND(TANH(H27*Calibration!$C$26),4)</f>
        <v>0.94330000000000003</v>
      </c>
    </row>
    <row r="28" spans="1:9" ht="15" customHeight="1" x14ac:dyDescent="0.25">
      <c r="A28" s="303" t="s">
        <v>828</v>
      </c>
      <c r="B28" s="303" t="s">
        <v>827</v>
      </c>
      <c r="C28" s="304">
        <f>RADAR_Examples!B36</f>
        <v>0.96540000000000004</v>
      </c>
      <c r="D28" s="304">
        <f>RADAR_Examples!I36</f>
        <v>2.6351157796069436E-2</v>
      </c>
      <c r="E28" s="305">
        <f>RADAR_Examples!D36</f>
        <v>170</v>
      </c>
      <c r="F28" s="303" t="s">
        <v>820</v>
      </c>
      <c r="G28" s="306" t="str">
        <f>RADAR_Examples!J36</f>
        <v>VALID</v>
      </c>
      <c r="H28" s="301">
        <f>RADAR_Examples!K36</f>
        <v>1</v>
      </c>
      <c r="I28" s="302">
        <f>ROUND(TANH(H28*Calibration!$C$26),4)</f>
        <v>0.96540000000000004</v>
      </c>
    </row>
    <row r="29" spans="1:9" ht="15" customHeight="1" x14ac:dyDescent="0.25">
      <c r="A29" s="297" t="s">
        <v>829</v>
      </c>
      <c r="B29" s="297" t="s">
        <v>819</v>
      </c>
      <c r="C29" s="298">
        <f>FORGE_Examples!B5</f>
        <v>0.24729999999999999</v>
      </c>
      <c r="D29" s="298">
        <f>FORGE_Examples!I5</f>
        <v>0.47478987173084963</v>
      </c>
      <c r="E29" s="299">
        <f>FORGE_Examples!D5</f>
        <v>50</v>
      </c>
      <c r="F29" s="297" t="s">
        <v>830</v>
      </c>
      <c r="G29" s="300" t="str">
        <f>FORGE_Examples!J5</f>
        <v>VALID</v>
      </c>
      <c r="H29" s="301">
        <f>FORGE_Examples!K5</f>
        <v>0.125</v>
      </c>
      <c r="I29" s="302">
        <f>ROUND(TANH(H29*Calibration!$C$26),4)</f>
        <v>0.24729999999999999</v>
      </c>
    </row>
    <row r="30" spans="1:9" ht="15" customHeight="1" x14ac:dyDescent="0.25">
      <c r="A30" s="303" t="s">
        <v>829</v>
      </c>
      <c r="B30" s="303" t="s">
        <v>821</v>
      </c>
      <c r="C30" s="304">
        <f>FORGE_Examples!B6</f>
        <v>0.46600000000000003</v>
      </c>
      <c r="D30" s="304">
        <f>FORGE_Examples!I6</f>
        <v>0.3830669090729279</v>
      </c>
      <c r="E30" s="305">
        <f>FORGE_Examples!D6</f>
        <v>150</v>
      </c>
      <c r="F30" s="303" t="s">
        <v>830</v>
      </c>
      <c r="G30" s="306" t="str">
        <f>FORGE_Examples!J6</f>
        <v>VALID</v>
      </c>
      <c r="H30" s="301">
        <f>FORGE_Examples!K6</f>
        <v>0.25</v>
      </c>
      <c r="I30" s="302">
        <f>ROUND(TANH(H30*Calibration!$C$26),4)</f>
        <v>0.46600000000000003</v>
      </c>
    </row>
    <row r="31" spans="1:9" ht="15" customHeight="1" x14ac:dyDescent="0.25">
      <c r="A31" s="297" t="s">
        <v>829</v>
      </c>
      <c r="B31" s="297" t="s">
        <v>822</v>
      </c>
      <c r="C31" s="298">
        <f>FORGE_Examples!B7</f>
        <v>0.63959999999999995</v>
      </c>
      <c r="D31" s="298">
        <f>FORGE_Examples!I7</f>
        <v>0.26810195821798433</v>
      </c>
      <c r="E31" s="299">
        <f>FORGE_Examples!D7</f>
        <v>300</v>
      </c>
      <c r="F31" s="297" t="s">
        <v>830</v>
      </c>
      <c r="G31" s="300" t="str">
        <f>FORGE_Examples!J7</f>
        <v>VALID</v>
      </c>
      <c r="H31" s="301">
        <f>FORGE_Examples!K7</f>
        <v>0.375</v>
      </c>
      <c r="I31" s="302">
        <f>ROUND(TANH(H31*Calibration!$C$26),4)</f>
        <v>0.63959999999999995</v>
      </c>
    </row>
    <row r="32" spans="1:9" ht="15" customHeight="1" x14ac:dyDescent="0.25">
      <c r="A32" s="303" t="s">
        <v>829</v>
      </c>
      <c r="B32" s="303" t="s">
        <v>823</v>
      </c>
      <c r="C32" s="304">
        <f>FORGE_Examples!B8</f>
        <v>0.76580000000000004</v>
      </c>
      <c r="D32" s="304">
        <f>FORGE_Examples!I8</f>
        <v>0.16790402772433283</v>
      </c>
      <c r="E32" s="305">
        <f>FORGE_Examples!D8</f>
        <v>320</v>
      </c>
      <c r="F32" s="303" t="s">
        <v>830</v>
      </c>
      <c r="G32" s="306" t="str">
        <f>FORGE_Examples!J8</f>
        <v>VALID</v>
      </c>
      <c r="H32" s="301">
        <f>FORGE_Examples!K8</f>
        <v>0.5</v>
      </c>
      <c r="I32" s="302">
        <f>ROUND(TANH(H32*Calibration!$C$26),4)</f>
        <v>0.76580000000000004</v>
      </c>
    </row>
    <row r="33" spans="1:9" ht="15" customHeight="1" x14ac:dyDescent="0.25">
      <c r="A33" s="297" t="s">
        <v>829</v>
      </c>
      <c r="B33" s="297" t="s">
        <v>824</v>
      </c>
      <c r="C33" s="298">
        <f>FORGE_Examples!B9</f>
        <v>0.8518</v>
      </c>
      <c r="D33" s="298">
        <f>FORGE_Examples!I9</f>
        <v>9.7270322827527733E-2</v>
      </c>
      <c r="E33" s="299">
        <f>FORGE_Examples!D9</f>
        <v>250</v>
      </c>
      <c r="F33" s="297" t="s">
        <v>830</v>
      </c>
      <c r="G33" s="300" t="str">
        <f>FORGE_Examples!J9</f>
        <v>VALID</v>
      </c>
      <c r="H33" s="301">
        <f>FORGE_Examples!K9</f>
        <v>0.625</v>
      </c>
      <c r="I33" s="302">
        <f>ROUND(TANH(H33*Calibration!$C$26),4)</f>
        <v>0.8518</v>
      </c>
    </row>
    <row r="34" spans="1:9" ht="15" customHeight="1" x14ac:dyDescent="0.25">
      <c r="A34" s="303" t="s">
        <v>829</v>
      </c>
      <c r="B34" s="303" t="s">
        <v>825</v>
      </c>
      <c r="C34" s="304">
        <f>FORGE_Examples!B10</f>
        <v>0.90780000000000005</v>
      </c>
      <c r="D34" s="304">
        <f>FORGE_Examples!I10</f>
        <v>5.3718839945503576E-2</v>
      </c>
      <c r="E34" s="305">
        <f>FORGE_Examples!D10</f>
        <v>180</v>
      </c>
      <c r="F34" s="303" t="s">
        <v>830</v>
      </c>
      <c r="G34" s="306" t="str">
        <f>FORGE_Examples!J10</f>
        <v>VALID</v>
      </c>
      <c r="H34" s="301">
        <f>FORGE_Examples!K10</f>
        <v>0.75</v>
      </c>
      <c r="I34" s="302">
        <f>ROUND(TANH(H34*Calibration!$C$26),4)</f>
        <v>0.90780000000000005</v>
      </c>
    </row>
    <row r="35" spans="1:9" ht="15" customHeight="1" x14ac:dyDescent="0.25">
      <c r="A35" s="297" t="s">
        <v>829</v>
      </c>
      <c r="B35" s="297" t="s">
        <v>826</v>
      </c>
      <c r="C35" s="298">
        <f>FORGE_Examples!B11</f>
        <v>0.94330000000000003</v>
      </c>
      <c r="D35" s="298">
        <f>FORGE_Examples!I11</f>
        <v>2.6777793272031489E-2</v>
      </c>
      <c r="E35" s="299">
        <f>FORGE_Examples!D11</f>
        <v>100</v>
      </c>
      <c r="F35" s="297" t="s">
        <v>830</v>
      </c>
      <c r="G35" s="300" t="str">
        <f>FORGE_Examples!J11</f>
        <v>VALID</v>
      </c>
      <c r="H35" s="301">
        <f>FORGE_Examples!K11</f>
        <v>0.875</v>
      </c>
      <c r="I35" s="302">
        <f>ROUND(TANH(H35*Calibration!$C$26),4)</f>
        <v>0.94330000000000003</v>
      </c>
    </row>
    <row r="36" spans="1:9" ht="15" customHeight="1" x14ac:dyDescent="0.25">
      <c r="A36" s="303" t="s">
        <v>829</v>
      </c>
      <c r="B36" s="303" t="s">
        <v>827</v>
      </c>
      <c r="C36" s="304">
        <f>FORGE_Examples!B12</f>
        <v>0.96540000000000004</v>
      </c>
      <c r="D36" s="304">
        <f>FORGE_Examples!I12</f>
        <v>1.282465775993933E-2</v>
      </c>
      <c r="E36" s="305">
        <f>FORGE_Examples!D12</f>
        <v>60</v>
      </c>
      <c r="F36" s="303" t="s">
        <v>830</v>
      </c>
      <c r="G36" s="306" t="str">
        <f>FORGE_Examples!J12</f>
        <v>VALID</v>
      </c>
      <c r="H36" s="301">
        <f>FORGE_Examples!K12</f>
        <v>1</v>
      </c>
      <c r="I36" s="302">
        <f>ROUND(TANH(H36*Calibration!$C$26),4)</f>
        <v>0.96540000000000004</v>
      </c>
    </row>
    <row r="37" spans="1:9" ht="15" customHeight="1" x14ac:dyDescent="0.25">
      <c r="A37" s="297" t="s">
        <v>831</v>
      </c>
      <c r="B37" s="297" t="s">
        <v>819</v>
      </c>
      <c r="C37" s="298">
        <f>FORGE_Examples!B17</f>
        <v>0.24729999999999999</v>
      </c>
      <c r="D37" s="298">
        <f>FORGE_Examples!I17</f>
        <v>0.53995217688987418</v>
      </c>
      <c r="E37" s="299">
        <f>FORGE_Examples!D17</f>
        <v>100</v>
      </c>
      <c r="F37" s="297" t="s">
        <v>830</v>
      </c>
      <c r="G37" s="300" t="str">
        <f>FORGE_Examples!J17</f>
        <v>VALID</v>
      </c>
      <c r="H37" s="301">
        <f>FORGE_Examples!K17</f>
        <v>0.125</v>
      </c>
      <c r="I37" s="302">
        <f>ROUND(TANH(H37*Calibration!$C$26),4)</f>
        <v>0.24729999999999999</v>
      </c>
    </row>
    <row r="38" spans="1:9" ht="15" customHeight="1" x14ac:dyDescent="0.25">
      <c r="A38" s="303" t="s">
        <v>831</v>
      </c>
      <c r="B38" s="303" t="s">
        <v>821</v>
      </c>
      <c r="C38" s="304">
        <f>FORGE_Examples!B18</f>
        <v>0.46600000000000003</v>
      </c>
      <c r="D38" s="304">
        <f>FORGE_Examples!I18</f>
        <v>0.40669127928037846</v>
      </c>
      <c r="E38" s="305">
        <f>FORGE_Examples!D18</f>
        <v>200</v>
      </c>
      <c r="F38" s="303" t="s">
        <v>830</v>
      </c>
      <c r="G38" s="306" t="str">
        <f>FORGE_Examples!J18</f>
        <v>VALID</v>
      </c>
      <c r="H38" s="301">
        <f>FORGE_Examples!K18</f>
        <v>0.25</v>
      </c>
      <c r="I38" s="302">
        <f>ROUND(TANH(H38*Calibration!$C$26),4)</f>
        <v>0.46600000000000003</v>
      </c>
    </row>
    <row r="39" spans="1:9" ht="15" customHeight="1" x14ac:dyDescent="0.25">
      <c r="A39" s="297" t="s">
        <v>831</v>
      </c>
      <c r="B39" s="297" t="s">
        <v>822</v>
      </c>
      <c r="C39" s="298">
        <f>FORGE_Examples!B19</f>
        <v>0.63959999999999995</v>
      </c>
      <c r="D39" s="298">
        <f>FORGE_Examples!I19</f>
        <v>0.2744785338064577</v>
      </c>
      <c r="E39" s="299">
        <f>FORGE_Examples!D19</f>
        <v>350</v>
      </c>
      <c r="F39" s="297" t="s">
        <v>830</v>
      </c>
      <c r="G39" s="300" t="str">
        <f>FORGE_Examples!J19</f>
        <v>VALID</v>
      </c>
      <c r="H39" s="301">
        <f>FORGE_Examples!K19</f>
        <v>0.375</v>
      </c>
      <c r="I39" s="302">
        <f>ROUND(TANH(H39*Calibration!$C$26),4)</f>
        <v>0.63959999999999995</v>
      </c>
    </row>
    <row r="40" spans="1:9" ht="15" customHeight="1" x14ac:dyDescent="0.25">
      <c r="A40" s="303" t="s">
        <v>831</v>
      </c>
      <c r="B40" s="303" t="s">
        <v>823</v>
      </c>
      <c r="C40" s="304">
        <f>FORGE_Examples!B20</f>
        <v>0.76580000000000004</v>
      </c>
      <c r="D40" s="304">
        <f>FORGE_Examples!I20</f>
        <v>0.1783653513248401</v>
      </c>
      <c r="E40" s="305">
        <f>FORGE_Examples!D20</f>
        <v>500</v>
      </c>
      <c r="F40" s="303" t="s">
        <v>830</v>
      </c>
      <c r="G40" s="306" t="str">
        <f>FORGE_Examples!J20</f>
        <v>VALID</v>
      </c>
      <c r="H40" s="301">
        <f>FORGE_Examples!K20</f>
        <v>0.5</v>
      </c>
      <c r="I40" s="302">
        <f>ROUND(TANH(H40*Calibration!$C$26),4)</f>
        <v>0.76580000000000004</v>
      </c>
    </row>
    <row r="41" spans="1:9" ht="15" customHeight="1" x14ac:dyDescent="0.25">
      <c r="A41" s="297" t="s">
        <v>831</v>
      </c>
      <c r="B41" s="297" t="s">
        <v>824</v>
      </c>
      <c r="C41" s="298">
        <f>FORGE_Examples!B21</f>
        <v>0.8518</v>
      </c>
      <c r="D41" s="298">
        <f>FORGE_Examples!I21</f>
        <v>0.11286825391264435</v>
      </c>
      <c r="E41" s="299">
        <f>FORGE_Examples!D21</f>
        <v>480</v>
      </c>
      <c r="F41" s="297" t="s">
        <v>830</v>
      </c>
      <c r="G41" s="300" t="str">
        <f>FORGE_Examples!J21</f>
        <v>VALID</v>
      </c>
      <c r="H41" s="301">
        <f>FORGE_Examples!K21</f>
        <v>0.625</v>
      </c>
      <c r="I41" s="302">
        <f>ROUND(TANH(H41*Calibration!$C$26),4)</f>
        <v>0.8518</v>
      </c>
    </row>
    <row r="42" spans="1:9" ht="15" customHeight="1" x14ac:dyDescent="0.25">
      <c r="A42" s="303" t="s">
        <v>831</v>
      </c>
      <c r="B42" s="303" t="s">
        <v>825</v>
      </c>
      <c r="C42" s="304">
        <f>FORGE_Examples!B22</f>
        <v>0.90780000000000005</v>
      </c>
      <c r="D42" s="304">
        <f>FORGE_Examples!I22</f>
        <v>7.0218981179121481E-2</v>
      </c>
      <c r="E42" s="305">
        <f>FORGE_Examples!D22</f>
        <v>420</v>
      </c>
      <c r="F42" s="303" t="s">
        <v>830</v>
      </c>
      <c r="G42" s="306" t="str">
        <f>FORGE_Examples!J22</f>
        <v>VALID</v>
      </c>
      <c r="H42" s="301">
        <f>FORGE_Examples!K22</f>
        <v>0.75</v>
      </c>
      <c r="I42" s="302">
        <f>ROUND(TANH(H42*Calibration!$C$26),4)</f>
        <v>0.90780000000000005</v>
      </c>
    </row>
    <row r="43" spans="1:9" ht="15" customHeight="1" x14ac:dyDescent="0.25">
      <c r="A43" s="297" t="s">
        <v>831</v>
      </c>
      <c r="B43" s="297" t="s">
        <v>826</v>
      </c>
      <c r="C43" s="298">
        <f>FORGE_Examples!B23</f>
        <v>0.94330000000000003</v>
      </c>
      <c r="D43" s="298">
        <f>FORGE_Examples!I23</f>
        <v>4.1829222419470208E-2</v>
      </c>
      <c r="E43" s="299">
        <f>FORGE_Examples!D23</f>
        <v>350</v>
      </c>
      <c r="F43" s="297" t="s">
        <v>830</v>
      </c>
      <c r="G43" s="300" t="str">
        <f>FORGE_Examples!J23</f>
        <v>VALID</v>
      </c>
      <c r="H43" s="301">
        <f>FORGE_Examples!K23</f>
        <v>0.875</v>
      </c>
      <c r="I43" s="302">
        <f>ROUND(TANH(H43*Calibration!$C$26),4)</f>
        <v>0.94330000000000003</v>
      </c>
    </row>
    <row r="44" spans="1:9" ht="15" customHeight="1" x14ac:dyDescent="0.25">
      <c r="A44" s="303" t="s">
        <v>831</v>
      </c>
      <c r="B44" s="303" t="s">
        <v>827</v>
      </c>
      <c r="C44" s="304">
        <f>FORGE_Examples!B24</f>
        <v>0.96540000000000004</v>
      </c>
      <c r="D44" s="304">
        <f>FORGE_Examples!I24</f>
        <v>2.4589079438083902E-2</v>
      </c>
      <c r="E44" s="305">
        <f>FORGE_Examples!D24</f>
        <v>300</v>
      </c>
      <c r="F44" s="303" t="s">
        <v>830</v>
      </c>
      <c r="G44" s="306" t="str">
        <f>FORGE_Examples!J24</f>
        <v>VALID</v>
      </c>
      <c r="H44" s="301">
        <f>FORGE_Examples!K24</f>
        <v>1</v>
      </c>
      <c r="I44" s="302">
        <f>ROUND(TANH(H44*Calibration!$C$26),4)</f>
        <v>0.96540000000000004</v>
      </c>
    </row>
    <row r="45" spans="1:9" ht="15" customHeight="1" x14ac:dyDescent="0.25">
      <c r="A45" s="297" t="s">
        <v>832</v>
      </c>
      <c r="B45" s="297" t="s">
        <v>819</v>
      </c>
      <c r="C45" s="298">
        <f>FORGE_Examples!B29</f>
        <v>0.24729999999999999</v>
      </c>
      <c r="D45" s="298">
        <f>FORGE_Examples!I29</f>
        <v>0.39235572887688419</v>
      </c>
      <c r="E45" s="299">
        <f>FORGE_Examples!D29</f>
        <v>20</v>
      </c>
      <c r="F45" s="297" t="s">
        <v>830</v>
      </c>
      <c r="G45" s="300" t="str">
        <f>FORGE_Examples!J29</f>
        <v>VALID</v>
      </c>
      <c r="H45" s="301">
        <f>FORGE_Examples!K29</f>
        <v>0.125</v>
      </c>
      <c r="I45" s="302">
        <f>ROUND(TANH(H45*Calibration!$C$26),4)</f>
        <v>0.24729999999999999</v>
      </c>
    </row>
    <row r="46" spans="1:9" ht="15" customHeight="1" x14ac:dyDescent="0.25">
      <c r="A46" s="303" t="s">
        <v>832</v>
      </c>
      <c r="B46" s="303" t="s">
        <v>821</v>
      </c>
      <c r="C46" s="304">
        <f>FORGE_Examples!B30</f>
        <v>0.46600000000000003</v>
      </c>
      <c r="D46" s="304">
        <f>FORGE_Examples!I30</f>
        <v>0.30855002554444366</v>
      </c>
      <c r="E46" s="305">
        <f>FORGE_Examples!D30</f>
        <v>40</v>
      </c>
      <c r="F46" s="303" t="s">
        <v>830</v>
      </c>
      <c r="G46" s="306" t="str">
        <f>FORGE_Examples!J30</f>
        <v>VALID</v>
      </c>
      <c r="H46" s="301">
        <f>FORGE_Examples!K30</f>
        <v>0.25</v>
      </c>
      <c r="I46" s="302">
        <f>ROUND(TANH(H46*Calibration!$C$26),4)</f>
        <v>0.46600000000000003</v>
      </c>
    </row>
    <row r="47" spans="1:9" ht="15" customHeight="1" x14ac:dyDescent="0.25">
      <c r="A47" s="297" t="s">
        <v>832</v>
      </c>
      <c r="B47" s="297" t="s">
        <v>822</v>
      </c>
      <c r="C47" s="298">
        <f>FORGE_Examples!B31</f>
        <v>0.63959999999999995</v>
      </c>
      <c r="D47" s="298">
        <f>FORGE_Examples!I31</f>
        <v>0.21362807719907656</v>
      </c>
      <c r="E47" s="299">
        <f>FORGE_Examples!D31</f>
        <v>65</v>
      </c>
      <c r="F47" s="297" t="s">
        <v>830</v>
      </c>
      <c r="G47" s="300" t="str">
        <f>FORGE_Examples!J31</f>
        <v>VALID</v>
      </c>
      <c r="H47" s="301">
        <f>FORGE_Examples!K31</f>
        <v>0.375</v>
      </c>
      <c r="I47" s="302">
        <f>ROUND(TANH(H47*Calibration!$C$26),4)</f>
        <v>0.63959999999999995</v>
      </c>
    </row>
    <row r="48" spans="1:9" ht="15" customHeight="1" x14ac:dyDescent="0.25">
      <c r="A48" s="303" t="s">
        <v>832</v>
      </c>
      <c r="B48" s="303" t="s">
        <v>823</v>
      </c>
      <c r="C48" s="304">
        <f>FORGE_Examples!B32</f>
        <v>0.76580000000000004</v>
      </c>
      <c r="D48" s="304">
        <f>FORGE_Examples!I32</f>
        <v>0.13290019456586</v>
      </c>
      <c r="E48" s="305">
        <f>FORGE_Examples!D32</f>
        <v>80</v>
      </c>
      <c r="F48" s="303" t="s">
        <v>830</v>
      </c>
      <c r="G48" s="306" t="str">
        <f>FORGE_Examples!J32</f>
        <v>VALID</v>
      </c>
      <c r="H48" s="301">
        <f>FORGE_Examples!K32</f>
        <v>0.5</v>
      </c>
      <c r="I48" s="302">
        <f>ROUND(TANH(H48*Calibration!$C$26),4)</f>
        <v>0.76580000000000004</v>
      </c>
    </row>
    <row r="49" spans="1:9" ht="15" customHeight="1" x14ac:dyDescent="0.25">
      <c r="A49" s="297" t="s">
        <v>832</v>
      </c>
      <c r="B49" s="297" t="s">
        <v>824</v>
      </c>
      <c r="C49" s="298">
        <f>FORGE_Examples!B33</f>
        <v>0.8518</v>
      </c>
      <c r="D49" s="298">
        <f>FORGE_Examples!I33</f>
        <v>7.3241290623111799E-2</v>
      </c>
      <c r="E49" s="299">
        <f>FORGE_Examples!D33</f>
        <v>70</v>
      </c>
      <c r="F49" s="297" t="s">
        <v>830</v>
      </c>
      <c r="G49" s="300" t="str">
        <f>FORGE_Examples!J33</f>
        <v>VALID</v>
      </c>
      <c r="H49" s="301">
        <f>FORGE_Examples!K33</f>
        <v>0.625</v>
      </c>
      <c r="I49" s="302">
        <f>ROUND(TANH(H49*Calibration!$C$26),4)</f>
        <v>0.8518</v>
      </c>
    </row>
    <row r="50" spans="1:9" ht="15" customHeight="1" x14ac:dyDescent="0.25">
      <c r="A50" s="303" t="s">
        <v>832</v>
      </c>
      <c r="B50" s="303" t="s">
        <v>825</v>
      </c>
      <c r="C50" s="304">
        <f>FORGE_Examples!B34</f>
        <v>0.90780000000000005</v>
      </c>
      <c r="D50" s="304">
        <f>FORGE_Examples!I34</f>
        <v>3.7217415325175585E-2</v>
      </c>
      <c r="E50" s="305">
        <f>FORGE_Examples!D34</f>
        <v>50</v>
      </c>
      <c r="F50" s="303" t="s">
        <v>830</v>
      </c>
      <c r="G50" s="306" t="str">
        <f>FORGE_Examples!J34</f>
        <v>VALID</v>
      </c>
      <c r="H50" s="301">
        <f>FORGE_Examples!K34</f>
        <v>0.75</v>
      </c>
      <c r="I50" s="302">
        <f>ROUND(TANH(H50*Calibration!$C$26),4)</f>
        <v>0.90780000000000005</v>
      </c>
    </row>
    <row r="51" spans="1:9" ht="15" customHeight="1" x14ac:dyDescent="0.25">
      <c r="A51" s="297" t="s">
        <v>832</v>
      </c>
      <c r="B51" s="297" t="s">
        <v>826</v>
      </c>
      <c r="C51" s="298">
        <f>FORGE_Examples!B35</f>
        <v>0.94330000000000003</v>
      </c>
      <c r="D51" s="298">
        <f>FORGE_Examples!I35</f>
        <v>1.6559728876460626E-2</v>
      </c>
      <c r="E51" s="299">
        <f>FORGE_Examples!D35</f>
        <v>35</v>
      </c>
      <c r="F51" s="297" t="s">
        <v>830</v>
      </c>
      <c r="G51" s="300" t="str">
        <f>FORGE_Examples!J35</f>
        <v>VALID</v>
      </c>
      <c r="H51" s="301">
        <f>FORGE_Examples!K35</f>
        <v>0.875</v>
      </c>
      <c r="I51" s="302">
        <f>ROUND(TANH(H51*Calibration!$C$26),4)</f>
        <v>0.94330000000000003</v>
      </c>
    </row>
    <row r="52" spans="1:9" ht="15" customHeight="1" x14ac:dyDescent="0.25">
      <c r="A52" s="303" t="s">
        <v>832</v>
      </c>
      <c r="B52" s="303" t="s">
        <v>827</v>
      </c>
      <c r="C52" s="304">
        <f>FORGE_Examples!B36</f>
        <v>0.96540000000000004</v>
      </c>
      <c r="D52" s="304">
        <f>FORGE_Examples!I36</f>
        <v>7.4823716029866344E-3</v>
      </c>
      <c r="E52" s="305">
        <f>FORGE_Examples!D36</f>
        <v>25</v>
      </c>
      <c r="F52" s="303" t="s">
        <v>830</v>
      </c>
      <c r="G52" s="306" t="str">
        <f>FORGE_Examples!J36</f>
        <v>VALID</v>
      </c>
      <c r="H52" s="301">
        <f>FORGE_Examples!K36</f>
        <v>1</v>
      </c>
      <c r="I52" s="302">
        <f>ROUND(TANH(H52*Calibration!$C$26),4)</f>
        <v>0.96540000000000004</v>
      </c>
    </row>
    <row r="53" spans="1:9" ht="15" customHeight="1" x14ac:dyDescent="0.25">
      <c r="A53" s="297" t="s">
        <v>833</v>
      </c>
      <c r="B53" s="297" t="s">
        <v>819</v>
      </c>
      <c r="C53" s="298">
        <f>Opp_Examples!B5</f>
        <v>0.24729999999999999</v>
      </c>
      <c r="D53" s="298">
        <f>Opp_Examples!I5</f>
        <v>-7.2876975527218918E-2</v>
      </c>
      <c r="E53" s="299">
        <f>Opp_Examples!D5</f>
        <v>100</v>
      </c>
      <c r="F53" s="297" t="s">
        <v>834</v>
      </c>
      <c r="G53" s="300" t="str">
        <f>Opp_Examples!J5</f>
        <v>VALID</v>
      </c>
      <c r="H53" s="301">
        <f>Opp_Examples!K5</f>
        <v>0.125</v>
      </c>
      <c r="I53" s="302">
        <f>ROUND(TANH(H53*Calibration!$C$26),4)</f>
        <v>0.24729999999999999</v>
      </c>
    </row>
    <row r="54" spans="1:9" ht="15" customHeight="1" x14ac:dyDescent="0.25">
      <c r="A54" s="303" t="s">
        <v>833</v>
      </c>
      <c r="B54" s="303" t="s">
        <v>821</v>
      </c>
      <c r="C54" s="304">
        <f>Opp_Examples!B6</f>
        <v>0.46600000000000003</v>
      </c>
      <c r="D54" s="304">
        <f>Opp_Examples!I6</f>
        <v>-7.3297599235424699E-2</v>
      </c>
      <c r="E54" s="305">
        <f>Opp_Examples!D6</f>
        <v>150</v>
      </c>
      <c r="F54" s="303" t="s">
        <v>834</v>
      </c>
      <c r="G54" s="306" t="str">
        <f>Opp_Examples!J6</f>
        <v>VALID</v>
      </c>
      <c r="H54" s="301">
        <f>Opp_Examples!K6</f>
        <v>0.25</v>
      </c>
      <c r="I54" s="302">
        <f>ROUND(TANH(H54*Calibration!$C$26),4)</f>
        <v>0.46600000000000003</v>
      </c>
    </row>
    <row r="55" spans="1:9" ht="15" customHeight="1" x14ac:dyDescent="0.25">
      <c r="A55" s="297" t="s">
        <v>833</v>
      </c>
      <c r="B55" s="297" t="s">
        <v>822</v>
      </c>
      <c r="C55" s="298">
        <f>Opp_Examples!B7</f>
        <v>0.63959999999999995</v>
      </c>
      <c r="D55" s="298">
        <f>Opp_Examples!I7</f>
        <v>-6.5923631654347878E-2</v>
      </c>
      <c r="E55" s="299">
        <f>Opp_Examples!D7</f>
        <v>200</v>
      </c>
      <c r="F55" s="297" t="s">
        <v>834</v>
      </c>
      <c r="G55" s="300" t="str">
        <f>Opp_Examples!J7</f>
        <v>VALID</v>
      </c>
      <c r="H55" s="301">
        <f>Opp_Examples!K7</f>
        <v>0.375</v>
      </c>
      <c r="I55" s="302">
        <f>ROUND(TANH(H55*Calibration!$C$26),4)</f>
        <v>0.63959999999999995</v>
      </c>
    </row>
    <row r="56" spans="1:9" ht="15" customHeight="1" x14ac:dyDescent="0.25">
      <c r="A56" s="303" t="s">
        <v>833</v>
      </c>
      <c r="B56" s="303" t="s">
        <v>823</v>
      </c>
      <c r="C56" s="304">
        <f>Opp_Examples!B8</f>
        <v>0.76580000000000004</v>
      </c>
      <c r="D56" s="304">
        <f>Opp_Examples!I8</f>
        <v>-5.4948864806790329E-2</v>
      </c>
      <c r="E56" s="305">
        <f>Opp_Examples!D8</f>
        <v>250</v>
      </c>
      <c r="F56" s="303" t="s">
        <v>834</v>
      </c>
      <c r="G56" s="306" t="str">
        <f>Opp_Examples!J8</f>
        <v>VALID</v>
      </c>
      <c r="H56" s="301">
        <f>Opp_Examples!K8</f>
        <v>0.5</v>
      </c>
      <c r="I56" s="302">
        <f>ROUND(TANH(H56*Calibration!$C$26),4)</f>
        <v>0.76580000000000004</v>
      </c>
    </row>
    <row r="57" spans="1:9" ht="15" customHeight="1" x14ac:dyDescent="0.25">
      <c r="A57" s="297" t="s">
        <v>833</v>
      </c>
      <c r="B57" s="297" t="s">
        <v>824</v>
      </c>
      <c r="C57" s="298">
        <f>Opp_Examples!B9</f>
        <v>0.8518</v>
      </c>
      <c r="D57" s="298">
        <f>Opp_Examples!I9</f>
        <v>-4.052453164254826E-2</v>
      </c>
      <c r="E57" s="299">
        <f>Opp_Examples!D9</f>
        <v>280</v>
      </c>
      <c r="F57" s="297" t="s">
        <v>834</v>
      </c>
      <c r="G57" s="300" t="str">
        <f>Opp_Examples!J9</f>
        <v>VALID</v>
      </c>
      <c r="H57" s="301">
        <f>Opp_Examples!K9</f>
        <v>0.625</v>
      </c>
      <c r="I57" s="302">
        <f>ROUND(TANH(H57*Calibration!$C$26),4)</f>
        <v>0.8518</v>
      </c>
    </row>
    <row r="58" spans="1:9" ht="15" customHeight="1" x14ac:dyDescent="0.25">
      <c r="A58" s="303" t="s">
        <v>833</v>
      </c>
      <c r="B58" s="303" t="s">
        <v>825</v>
      </c>
      <c r="C58" s="304">
        <f>Opp_Examples!B10</f>
        <v>0.90780000000000005</v>
      </c>
      <c r="D58" s="304">
        <f>Opp_Examples!I10</f>
        <v>-2.6179373147643969E-2</v>
      </c>
      <c r="E58" s="305">
        <f>Opp_Examples!D10</f>
        <v>260</v>
      </c>
      <c r="F58" s="303" t="s">
        <v>834</v>
      </c>
      <c r="G58" s="306" t="str">
        <f>Opp_Examples!J10</f>
        <v>VALID</v>
      </c>
      <c r="H58" s="301">
        <f>Opp_Examples!K10</f>
        <v>0.75</v>
      </c>
      <c r="I58" s="302">
        <f>ROUND(TANH(H58*Calibration!$C$26),4)</f>
        <v>0.90780000000000005</v>
      </c>
    </row>
    <row r="59" spans="1:9" ht="15" customHeight="1" x14ac:dyDescent="0.25">
      <c r="A59" s="297" t="s">
        <v>833</v>
      </c>
      <c r="B59" s="297" t="s">
        <v>826</v>
      </c>
      <c r="C59" s="298">
        <f>Opp_Examples!B11</f>
        <v>0.94330000000000003</v>
      </c>
      <c r="D59" s="298">
        <f>Opp_Examples!I11</f>
        <v>-1.573051062501632E-2</v>
      </c>
      <c r="E59" s="299">
        <f>Opp_Examples!D11</f>
        <v>220</v>
      </c>
      <c r="F59" s="297" t="s">
        <v>834</v>
      </c>
      <c r="G59" s="300" t="str">
        <f>Opp_Examples!J11</f>
        <v>VALID</v>
      </c>
      <c r="H59" s="301">
        <f>Opp_Examples!K11</f>
        <v>0.875</v>
      </c>
      <c r="I59" s="302">
        <f>ROUND(TANH(H59*Calibration!$C$26),4)</f>
        <v>0.94330000000000003</v>
      </c>
    </row>
    <row r="60" spans="1:9" ht="15" customHeight="1" x14ac:dyDescent="0.25">
      <c r="A60" s="303" t="s">
        <v>833</v>
      </c>
      <c r="B60" s="303" t="s">
        <v>827</v>
      </c>
      <c r="C60" s="304">
        <f>Opp_Examples!B12</f>
        <v>0.96540000000000004</v>
      </c>
      <c r="D60" s="304">
        <f>Opp_Examples!I12</f>
        <v>-9.3228415465553254E-3</v>
      </c>
      <c r="E60" s="305">
        <f>Opp_Examples!D12</f>
        <v>180</v>
      </c>
      <c r="F60" s="303" t="s">
        <v>834</v>
      </c>
      <c r="G60" s="306" t="str">
        <f>Opp_Examples!J12</f>
        <v>VALID</v>
      </c>
      <c r="H60" s="301">
        <f>Opp_Examples!K12</f>
        <v>1</v>
      </c>
      <c r="I60" s="302">
        <f>ROUND(TANH(H60*Calibration!$C$26),4)</f>
        <v>0.96540000000000004</v>
      </c>
    </row>
    <row r="61" spans="1:9" ht="15" customHeight="1" x14ac:dyDescent="0.25">
      <c r="A61" s="297" t="s">
        <v>835</v>
      </c>
      <c r="B61" s="297" t="s">
        <v>819</v>
      </c>
      <c r="C61" s="298">
        <f>Opp_Examples!B17</f>
        <v>0.24729999999999999</v>
      </c>
      <c r="D61" s="298">
        <f>Opp_Examples!I17</f>
        <v>-3.8955024337850377E-2</v>
      </c>
      <c r="E61" s="299">
        <f>Opp_Examples!D17</f>
        <v>150</v>
      </c>
      <c r="F61" s="297" t="s">
        <v>834</v>
      </c>
      <c r="G61" s="300" t="str">
        <f>Opp_Examples!J17</f>
        <v>VALID</v>
      </c>
      <c r="H61" s="301">
        <f>Opp_Examples!K17</f>
        <v>0.125</v>
      </c>
      <c r="I61" s="302">
        <f>ROUND(TANH(H61*Calibration!$C$26),4)</f>
        <v>0.24729999999999999</v>
      </c>
    </row>
    <row r="62" spans="1:9" ht="15" customHeight="1" x14ac:dyDescent="0.25">
      <c r="A62" s="303" t="s">
        <v>835</v>
      </c>
      <c r="B62" s="303" t="s">
        <v>821</v>
      </c>
      <c r="C62" s="304">
        <f>Opp_Examples!B18</f>
        <v>0.46600000000000003</v>
      </c>
      <c r="D62" s="304">
        <f>Opp_Examples!I18</f>
        <v>-4.1408501809277992E-2</v>
      </c>
      <c r="E62" s="305">
        <f>Opp_Examples!D18</f>
        <v>220</v>
      </c>
      <c r="F62" s="303" t="s">
        <v>834</v>
      </c>
      <c r="G62" s="306" t="str">
        <f>Opp_Examples!J18</f>
        <v>VALID</v>
      </c>
      <c r="H62" s="301">
        <f>Opp_Examples!K18</f>
        <v>0.25</v>
      </c>
      <c r="I62" s="302">
        <f>ROUND(TANH(H62*Calibration!$C$26),4)</f>
        <v>0.46600000000000003</v>
      </c>
    </row>
    <row r="63" spans="1:9" ht="15" customHeight="1" x14ac:dyDescent="0.25">
      <c r="A63" s="297" t="s">
        <v>835</v>
      </c>
      <c r="B63" s="297" t="s">
        <v>822</v>
      </c>
      <c r="C63" s="298">
        <f>Opp_Examples!B19</f>
        <v>0.63959999999999995</v>
      </c>
      <c r="D63" s="298">
        <f>Opp_Examples!I19</f>
        <v>-3.7559581918519352E-2</v>
      </c>
      <c r="E63" s="299">
        <f>Opp_Examples!D19</f>
        <v>300</v>
      </c>
      <c r="F63" s="297" t="s">
        <v>834</v>
      </c>
      <c r="G63" s="300" t="str">
        <f>Opp_Examples!J19</f>
        <v>VALID</v>
      </c>
      <c r="H63" s="301">
        <f>Opp_Examples!K19</f>
        <v>0.375</v>
      </c>
      <c r="I63" s="302">
        <f>ROUND(TANH(H63*Calibration!$C$26),4)</f>
        <v>0.63959999999999995</v>
      </c>
    </row>
    <row r="64" spans="1:9" ht="15" customHeight="1" x14ac:dyDescent="0.25">
      <c r="A64" s="303" t="s">
        <v>835</v>
      </c>
      <c r="B64" s="303" t="s">
        <v>823</v>
      </c>
      <c r="C64" s="304">
        <f>Opp_Examples!B20</f>
        <v>0.76580000000000004</v>
      </c>
      <c r="D64" s="304">
        <f>Opp_Examples!I20</f>
        <v>-3.0160488552273729E-2</v>
      </c>
      <c r="E64" s="305">
        <f>Opp_Examples!D20</f>
        <v>380</v>
      </c>
      <c r="F64" s="303" t="s">
        <v>834</v>
      </c>
      <c r="G64" s="306" t="str">
        <f>Opp_Examples!J20</f>
        <v>VALID</v>
      </c>
      <c r="H64" s="301">
        <f>Opp_Examples!K20</f>
        <v>0.5</v>
      </c>
      <c r="I64" s="302">
        <f>ROUND(TANH(H64*Calibration!$C$26),4)</f>
        <v>0.76580000000000004</v>
      </c>
    </row>
    <row r="65" spans="1:9" ht="15" customHeight="1" x14ac:dyDescent="0.25">
      <c r="A65" s="297" t="s">
        <v>835</v>
      </c>
      <c r="B65" s="297" t="s">
        <v>824</v>
      </c>
      <c r="C65" s="298">
        <f>Opp_Examples!B21</f>
        <v>0.8518</v>
      </c>
      <c r="D65" s="298">
        <f>Opp_Examples!I21</f>
        <v>-2.3357362115968203E-2</v>
      </c>
      <c r="E65" s="299">
        <f>Opp_Examples!D21</f>
        <v>400</v>
      </c>
      <c r="F65" s="297" t="s">
        <v>834</v>
      </c>
      <c r="G65" s="300" t="str">
        <f>Opp_Examples!J21</f>
        <v>VALID</v>
      </c>
      <c r="H65" s="301">
        <f>Opp_Examples!K21</f>
        <v>0.625</v>
      </c>
      <c r="I65" s="302">
        <f>ROUND(TANH(H65*Calibration!$C$26),4)</f>
        <v>0.8518</v>
      </c>
    </row>
    <row r="66" spans="1:9" ht="15" customHeight="1" x14ac:dyDescent="0.25">
      <c r="A66" s="303" t="s">
        <v>835</v>
      </c>
      <c r="B66" s="303" t="s">
        <v>825</v>
      </c>
      <c r="C66" s="304">
        <f>Opp_Examples!B22</f>
        <v>0.90780000000000005</v>
      </c>
      <c r="D66" s="304">
        <f>Opp_Examples!I22</f>
        <v>-1.7687934325907134E-2</v>
      </c>
      <c r="E66" s="305">
        <f>Opp_Examples!D22</f>
        <v>420</v>
      </c>
      <c r="F66" s="303" t="s">
        <v>834</v>
      </c>
      <c r="G66" s="306" t="str">
        <f>Opp_Examples!J22</f>
        <v>VALID</v>
      </c>
      <c r="H66" s="301">
        <f>Opp_Examples!K22</f>
        <v>0.75</v>
      </c>
      <c r="I66" s="302">
        <f>ROUND(TANH(H66*Calibration!$C$26),4)</f>
        <v>0.90780000000000005</v>
      </c>
    </row>
    <row r="67" spans="1:9" ht="15" customHeight="1" x14ac:dyDescent="0.25">
      <c r="A67" s="297" t="s">
        <v>835</v>
      </c>
      <c r="B67" s="297" t="s">
        <v>826</v>
      </c>
      <c r="C67" s="298">
        <f>Opp_Examples!B23</f>
        <v>0.94330000000000003</v>
      </c>
      <c r="D67" s="298">
        <f>Opp_Examples!I23</f>
        <v>-1.1582953325267318E-2</v>
      </c>
      <c r="E67" s="299">
        <f>Opp_Examples!D23</f>
        <v>390</v>
      </c>
      <c r="F67" s="297" t="s">
        <v>834</v>
      </c>
      <c r="G67" s="300" t="str">
        <f>Opp_Examples!J23</f>
        <v>VALID</v>
      </c>
      <c r="H67" s="301">
        <f>Opp_Examples!K23</f>
        <v>0.875</v>
      </c>
      <c r="I67" s="302">
        <f>ROUND(TANH(H67*Calibration!$C$26),4)</f>
        <v>0.94330000000000003</v>
      </c>
    </row>
    <row r="68" spans="1:9" ht="15" customHeight="1" x14ac:dyDescent="0.25">
      <c r="A68" s="303" t="s">
        <v>835</v>
      </c>
      <c r="B68" s="303" t="s">
        <v>827</v>
      </c>
      <c r="C68" s="304">
        <f>Opp_Examples!B24</f>
        <v>0.96540000000000004</v>
      </c>
      <c r="D68" s="304">
        <f>Opp_Examples!I24</f>
        <v>-6.9608438168064952E-3</v>
      </c>
      <c r="E68" s="305">
        <f>Opp_Examples!D24</f>
        <v>350</v>
      </c>
      <c r="F68" s="303" t="s">
        <v>834</v>
      </c>
      <c r="G68" s="306" t="str">
        <f>Opp_Examples!J24</f>
        <v>VALID</v>
      </c>
      <c r="H68" s="301">
        <f>Opp_Examples!K24</f>
        <v>1</v>
      </c>
      <c r="I68" s="302">
        <f>ROUND(TANH(H68*Calibration!$C$26),4)</f>
        <v>0.96540000000000004</v>
      </c>
    </row>
    <row r="69" spans="1:9" ht="15" customHeight="1" x14ac:dyDescent="0.25">
      <c r="A69" s="297" t="s">
        <v>836</v>
      </c>
      <c r="B69" s="297" t="s">
        <v>819</v>
      </c>
      <c r="C69" s="298">
        <f>Opp_Examples!B29</f>
        <v>0.24729999999999999</v>
      </c>
      <c r="D69" s="298">
        <f>Opp_Examples!I29</f>
        <v>-0.13768234613270711</v>
      </c>
      <c r="E69" s="299">
        <f>Opp_Examples!D29</f>
        <v>60</v>
      </c>
      <c r="F69" s="297" t="s">
        <v>834</v>
      </c>
      <c r="G69" s="300" t="str">
        <f>Opp_Examples!J29</f>
        <v>VALID</v>
      </c>
      <c r="H69" s="301">
        <f>Opp_Examples!K29</f>
        <v>0.125</v>
      </c>
      <c r="I69" s="302">
        <f>ROUND(TANH(H69*Calibration!$C$26),4)</f>
        <v>0.24729999999999999</v>
      </c>
    </row>
    <row r="70" spans="1:9" ht="15" customHeight="1" x14ac:dyDescent="0.25">
      <c r="A70" s="303" t="s">
        <v>836</v>
      </c>
      <c r="B70" s="303" t="s">
        <v>821</v>
      </c>
      <c r="C70" s="304">
        <f>Opp_Examples!B30</f>
        <v>0.46600000000000003</v>
      </c>
      <c r="D70" s="304">
        <f>Opp_Examples!I30</f>
        <v>-0.12126028765750187</v>
      </c>
      <c r="E70" s="305">
        <f>Opp_Examples!D30</f>
        <v>80</v>
      </c>
      <c r="F70" s="303" t="s">
        <v>834</v>
      </c>
      <c r="G70" s="306" t="str">
        <f>Opp_Examples!J30</f>
        <v>VALID</v>
      </c>
      <c r="H70" s="301">
        <f>Opp_Examples!K30</f>
        <v>0.25</v>
      </c>
      <c r="I70" s="302">
        <f>ROUND(TANH(H70*Calibration!$C$26),4)</f>
        <v>0.46600000000000003</v>
      </c>
    </row>
    <row r="71" spans="1:9" ht="15" customHeight="1" x14ac:dyDescent="0.25">
      <c r="A71" s="297" t="s">
        <v>836</v>
      </c>
      <c r="B71" s="297" t="s">
        <v>822</v>
      </c>
      <c r="C71" s="298">
        <f>Opp_Examples!B31</f>
        <v>0.63959999999999995</v>
      </c>
      <c r="D71" s="298">
        <f>Opp_Examples!I31</f>
        <v>-9.8549535789300924E-2</v>
      </c>
      <c r="E71" s="299">
        <f>Opp_Examples!D31</f>
        <v>100</v>
      </c>
      <c r="F71" s="297" t="s">
        <v>834</v>
      </c>
      <c r="G71" s="300" t="str">
        <f>Opp_Examples!J31</f>
        <v>VALID</v>
      </c>
      <c r="H71" s="301">
        <f>Opp_Examples!K31</f>
        <v>0.375</v>
      </c>
      <c r="I71" s="302">
        <f>ROUND(TANH(H71*Calibration!$C$26),4)</f>
        <v>0.63959999999999995</v>
      </c>
    </row>
    <row r="72" spans="1:9" ht="15" customHeight="1" x14ac:dyDescent="0.25">
      <c r="A72" s="303" t="s">
        <v>836</v>
      </c>
      <c r="B72" s="303" t="s">
        <v>823</v>
      </c>
      <c r="C72" s="304">
        <f>Opp_Examples!B32</f>
        <v>0.76580000000000004</v>
      </c>
      <c r="D72" s="304">
        <f>Opp_Examples!I32</f>
        <v>-7.4521033771301287E-2</v>
      </c>
      <c r="E72" s="305">
        <f>Opp_Examples!D32</f>
        <v>120</v>
      </c>
      <c r="F72" s="303" t="s">
        <v>834</v>
      </c>
      <c r="G72" s="306" t="str">
        <f>Opp_Examples!J32</f>
        <v>VALID</v>
      </c>
      <c r="H72" s="301">
        <f>Opp_Examples!K32</f>
        <v>0.5</v>
      </c>
      <c r="I72" s="302">
        <f>ROUND(TANH(H72*Calibration!$C$26),4)</f>
        <v>0.76580000000000004</v>
      </c>
    </row>
    <row r="73" spans="1:9" ht="15" customHeight="1" x14ac:dyDescent="0.25">
      <c r="A73" s="297" t="s">
        <v>836</v>
      </c>
      <c r="B73" s="297" t="s">
        <v>824</v>
      </c>
      <c r="C73" s="298">
        <f>Opp_Examples!B33</f>
        <v>0.8518</v>
      </c>
      <c r="D73" s="298">
        <f>Opp_Examples!I33</f>
        <v>-5.2844870996377032E-2</v>
      </c>
      <c r="E73" s="299">
        <f>Opp_Examples!D33</f>
        <v>125</v>
      </c>
      <c r="F73" s="297" t="s">
        <v>834</v>
      </c>
      <c r="G73" s="300" t="str">
        <f>Opp_Examples!J33</f>
        <v>VALID</v>
      </c>
      <c r="H73" s="301">
        <f>Opp_Examples!K33</f>
        <v>0.625</v>
      </c>
      <c r="I73" s="302">
        <f>ROUND(TANH(H73*Calibration!$C$26),4)</f>
        <v>0.8518</v>
      </c>
    </row>
    <row r="74" spans="1:9" ht="15" customHeight="1" x14ac:dyDescent="0.25">
      <c r="A74" s="303" t="s">
        <v>836</v>
      </c>
      <c r="B74" s="303" t="s">
        <v>825</v>
      </c>
      <c r="C74" s="304">
        <f>Opp_Examples!B34</f>
        <v>0.90780000000000005</v>
      </c>
      <c r="D74" s="304">
        <f>Opp_Examples!I34</f>
        <v>-3.3233249244193186E-2</v>
      </c>
      <c r="E74" s="305">
        <f>Opp_Examples!D34</f>
        <v>115</v>
      </c>
      <c r="F74" s="303" t="s">
        <v>834</v>
      </c>
      <c r="G74" s="306" t="str">
        <f>Opp_Examples!J34</f>
        <v>VALID</v>
      </c>
      <c r="H74" s="301">
        <f>Opp_Examples!K34</f>
        <v>0.75</v>
      </c>
      <c r="I74" s="302">
        <f>ROUND(TANH(H74*Calibration!$C$26),4)</f>
        <v>0.90780000000000005</v>
      </c>
    </row>
    <row r="75" spans="1:9" ht="15" customHeight="1" x14ac:dyDescent="0.25">
      <c r="A75" s="297" t="s">
        <v>836</v>
      </c>
      <c r="B75" s="297" t="s">
        <v>826</v>
      </c>
      <c r="C75" s="298">
        <f>Opp_Examples!B35</f>
        <v>0.94330000000000003</v>
      </c>
      <c r="D75" s="298">
        <f>Opp_Examples!I35</f>
        <v>-1.9504450993835309E-2</v>
      </c>
      <c r="E75" s="299">
        <f>Opp_Examples!D35</f>
        <v>100</v>
      </c>
      <c r="F75" s="297" t="s">
        <v>834</v>
      </c>
      <c r="G75" s="300" t="str">
        <f>Opp_Examples!J35</f>
        <v>VALID</v>
      </c>
      <c r="H75" s="301">
        <f>Opp_Examples!K35</f>
        <v>0.875</v>
      </c>
      <c r="I75" s="302">
        <f>ROUND(TANH(H75*Calibration!$C$26),4)</f>
        <v>0.94330000000000003</v>
      </c>
    </row>
    <row r="76" spans="1:9" ht="15" customHeight="1" x14ac:dyDescent="0.25">
      <c r="A76" s="303" t="s">
        <v>836</v>
      </c>
      <c r="B76" s="303" t="s">
        <v>827</v>
      </c>
      <c r="C76" s="304">
        <f>Opp_Examples!B36</f>
        <v>0.96540000000000004</v>
      </c>
      <c r="D76" s="304">
        <f>Opp_Examples!I36</f>
        <v>-1.0420299040421962E-2</v>
      </c>
      <c r="E76" s="305">
        <f>Opp_Examples!D36</f>
        <v>80</v>
      </c>
      <c r="F76" s="303" t="s">
        <v>834</v>
      </c>
      <c r="G76" s="306" t="str">
        <f>Opp_Examples!J36</f>
        <v>VALID</v>
      </c>
      <c r="H76" s="301">
        <f>Opp_Examples!K36</f>
        <v>1</v>
      </c>
      <c r="I76" s="302">
        <f>ROUND(TANH(H76*Calibration!$C$26),4)</f>
        <v>0.96540000000000004</v>
      </c>
    </row>
    <row r="79" spans="1:9" ht="15" customHeight="1" x14ac:dyDescent="0.25">
      <c r="A79" s="433" t="s">
        <v>837</v>
      </c>
      <c r="B79" s="433"/>
      <c r="C79" s="433"/>
      <c r="D79" s="433"/>
      <c r="E79" s="433"/>
      <c r="F79" s="433"/>
      <c r="G79" s="433"/>
      <c r="H79" s="433"/>
      <c r="I79" s="433"/>
    </row>
    <row r="80" spans="1:9" ht="15" customHeight="1" x14ac:dyDescent="0.25">
      <c r="A80" s="52" t="s">
        <v>838</v>
      </c>
      <c r="B80" s="52" t="s">
        <v>839</v>
      </c>
      <c r="C80" s="52" t="s">
        <v>840</v>
      </c>
      <c r="D80" s="434" t="s">
        <v>222</v>
      </c>
      <c r="E80" s="434"/>
      <c r="F80" s="434"/>
      <c r="G80" s="434"/>
    </row>
    <row r="81" spans="1:7" ht="15" customHeight="1" x14ac:dyDescent="0.25">
      <c r="A81" s="307" t="s">
        <v>841</v>
      </c>
      <c r="B81" s="187">
        <f>CORE!$B$14</f>
        <v>1</v>
      </c>
      <c r="C81" s="187">
        <v>0</v>
      </c>
      <c r="D81" s="435" t="s">
        <v>842</v>
      </c>
      <c r="E81" s="435"/>
      <c r="F81" s="435"/>
      <c r="G81" s="435"/>
    </row>
    <row r="82" spans="1:7" ht="15" customHeight="1" x14ac:dyDescent="0.25">
      <c r="A82" s="307" t="s">
        <v>843</v>
      </c>
      <c r="B82" s="187">
        <v>0</v>
      </c>
      <c r="C82" s="187">
        <f>CORE!$B$14</f>
        <v>1</v>
      </c>
      <c r="D82" s="435" t="s">
        <v>844</v>
      </c>
      <c r="E82" s="435"/>
      <c r="F82" s="435"/>
      <c r="G82" s="435"/>
    </row>
    <row r="83" spans="1:7" ht="15" customHeight="1" x14ac:dyDescent="0.25">
      <c r="A83" s="307" t="s">
        <v>845</v>
      </c>
      <c r="B83" s="187">
        <v>0</v>
      </c>
      <c r="C83" s="187">
        <f>-CORE!$B$14</f>
        <v>-1</v>
      </c>
      <c r="D83" s="435" t="s">
        <v>846</v>
      </c>
      <c r="E83" s="435"/>
      <c r="F83" s="435"/>
      <c r="G83" s="435"/>
    </row>
    <row r="84" spans="1:7" ht="15" customHeight="1" x14ac:dyDescent="0.25">
      <c r="A84" s="307" t="s">
        <v>847</v>
      </c>
      <c r="B84" s="187">
        <v>0</v>
      </c>
      <c r="C84" s="187">
        <v>0</v>
      </c>
      <c r="D84" s="435" t="s">
        <v>848</v>
      </c>
      <c r="E84" s="435"/>
      <c r="F84" s="435"/>
      <c r="G84" s="435"/>
    </row>
    <row r="86" spans="1:7" ht="15" customHeight="1" x14ac:dyDescent="0.25">
      <c r="A86" s="436" t="s">
        <v>849</v>
      </c>
      <c r="B86" s="436"/>
      <c r="C86" s="436"/>
      <c r="D86" s="436"/>
      <c r="E86" s="436"/>
      <c r="F86" s="436"/>
      <c r="G86" s="436"/>
    </row>
    <row r="87" spans="1:7" ht="21.75" customHeight="1" x14ac:dyDescent="0.25">
      <c r="A87" s="308" t="s">
        <v>850</v>
      </c>
      <c r="B87" s="308" t="s">
        <v>839</v>
      </c>
      <c r="C87" s="308" t="s">
        <v>851</v>
      </c>
      <c r="D87" s="308" t="s">
        <v>852</v>
      </c>
      <c r="E87" s="308" t="s">
        <v>853</v>
      </c>
    </row>
    <row r="88" spans="1:7" ht="15" customHeight="1" x14ac:dyDescent="0.25">
      <c r="A88" s="309">
        <v>1</v>
      </c>
      <c r="B88" s="186">
        <f>ROUND(0/20*CORE!$B$14,3)</f>
        <v>0</v>
      </c>
      <c r="C88" s="186">
        <f>ROUND(CORE!$B$14-B88,3)</f>
        <v>1</v>
      </c>
      <c r="D88" s="186">
        <f>ROUND(-(CORE!$B$14-B88),3)</f>
        <v>-1</v>
      </c>
      <c r="E88" s="186">
        <f t="shared" ref="E88:E108" si="0">ROUND(ABS(C88)+ABS(B88),3)</f>
        <v>1</v>
      </c>
    </row>
    <row r="89" spans="1:7" ht="15" customHeight="1" x14ac:dyDescent="0.25">
      <c r="A89" s="309">
        <v>2</v>
      </c>
      <c r="B89" s="186">
        <f>ROUND(1/20*CORE!$B$14,3)</f>
        <v>0.05</v>
      </c>
      <c r="C89" s="186">
        <f>ROUND(CORE!$B$14-B89,3)</f>
        <v>0.95</v>
      </c>
      <c r="D89" s="186">
        <f>ROUND(-(CORE!$B$14-B89),3)</f>
        <v>-0.95</v>
      </c>
      <c r="E89" s="186">
        <f t="shared" si="0"/>
        <v>1</v>
      </c>
    </row>
    <row r="90" spans="1:7" ht="15" customHeight="1" x14ac:dyDescent="0.25">
      <c r="A90" s="309">
        <v>3</v>
      </c>
      <c r="B90" s="186">
        <f>ROUND(2/20*CORE!$B$14,3)</f>
        <v>0.1</v>
      </c>
      <c r="C90" s="186">
        <f>ROUND(CORE!$B$14-B90,3)</f>
        <v>0.9</v>
      </c>
      <c r="D90" s="186">
        <f>ROUND(-(CORE!$B$14-B90),3)</f>
        <v>-0.9</v>
      </c>
      <c r="E90" s="186">
        <f t="shared" si="0"/>
        <v>1</v>
      </c>
    </row>
    <row r="91" spans="1:7" ht="15" customHeight="1" x14ac:dyDescent="0.25">
      <c r="A91" s="309">
        <v>4</v>
      </c>
      <c r="B91" s="186">
        <f>ROUND(3/20*CORE!$B$14,3)</f>
        <v>0.15</v>
      </c>
      <c r="C91" s="186">
        <f>ROUND(CORE!$B$14-B91,3)</f>
        <v>0.85</v>
      </c>
      <c r="D91" s="186">
        <f>ROUND(-(CORE!$B$14-B91),3)</f>
        <v>-0.85</v>
      </c>
      <c r="E91" s="186">
        <f t="shared" si="0"/>
        <v>1</v>
      </c>
    </row>
    <row r="92" spans="1:7" ht="15" customHeight="1" x14ac:dyDescent="0.25">
      <c r="A92" s="309">
        <v>5</v>
      </c>
      <c r="B92" s="186">
        <f>ROUND(4/20*CORE!$B$14,3)</f>
        <v>0.2</v>
      </c>
      <c r="C92" s="186">
        <f>ROUND(CORE!$B$14-B92,3)</f>
        <v>0.8</v>
      </c>
      <c r="D92" s="186">
        <f>ROUND(-(CORE!$B$14-B92),3)</f>
        <v>-0.8</v>
      </c>
      <c r="E92" s="186">
        <f t="shared" si="0"/>
        <v>1</v>
      </c>
    </row>
    <row r="93" spans="1:7" ht="15" customHeight="1" x14ac:dyDescent="0.25">
      <c r="A93" s="309">
        <v>6</v>
      </c>
      <c r="B93" s="186">
        <f>ROUND(5/20*CORE!$B$14,3)</f>
        <v>0.25</v>
      </c>
      <c r="C93" s="186">
        <f>ROUND(CORE!$B$14-B93,3)</f>
        <v>0.75</v>
      </c>
      <c r="D93" s="186">
        <f>ROUND(-(CORE!$B$14-B93),3)</f>
        <v>-0.75</v>
      </c>
      <c r="E93" s="186">
        <f t="shared" si="0"/>
        <v>1</v>
      </c>
    </row>
    <row r="94" spans="1:7" ht="15" customHeight="1" x14ac:dyDescent="0.25">
      <c r="A94" s="309">
        <v>7</v>
      </c>
      <c r="B94" s="186">
        <f>ROUND(6/20*CORE!$B$14,3)</f>
        <v>0.3</v>
      </c>
      <c r="C94" s="186">
        <f>ROUND(CORE!$B$14-B94,3)</f>
        <v>0.7</v>
      </c>
      <c r="D94" s="186">
        <f>ROUND(-(CORE!$B$14-B94),3)</f>
        <v>-0.7</v>
      </c>
      <c r="E94" s="186">
        <f t="shared" si="0"/>
        <v>1</v>
      </c>
    </row>
    <row r="95" spans="1:7" ht="15" customHeight="1" x14ac:dyDescent="0.25">
      <c r="A95" s="309">
        <v>8</v>
      </c>
      <c r="B95" s="186">
        <f>ROUND(7/20*CORE!$B$14,3)</f>
        <v>0.35</v>
      </c>
      <c r="C95" s="186">
        <f>ROUND(CORE!$B$14-B95,3)</f>
        <v>0.65</v>
      </c>
      <c r="D95" s="186">
        <f>ROUND(-(CORE!$B$14-B95),3)</f>
        <v>-0.65</v>
      </c>
      <c r="E95" s="186">
        <f t="shared" si="0"/>
        <v>1</v>
      </c>
    </row>
    <row r="96" spans="1:7" ht="15" customHeight="1" x14ac:dyDescent="0.25">
      <c r="A96" s="309">
        <v>9</v>
      </c>
      <c r="B96" s="186">
        <f>ROUND(8/20*CORE!$B$14,3)</f>
        <v>0.4</v>
      </c>
      <c r="C96" s="186">
        <f>ROUND(CORE!$B$14-B96,3)</f>
        <v>0.6</v>
      </c>
      <c r="D96" s="186">
        <f>ROUND(-(CORE!$B$14-B96),3)</f>
        <v>-0.6</v>
      </c>
      <c r="E96" s="186">
        <f t="shared" si="0"/>
        <v>1</v>
      </c>
    </row>
    <row r="97" spans="1:9" ht="15" customHeight="1" x14ac:dyDescent="0.25">
      <c r="A97" s="309">
        <v>10</v>
      </c>
      <c r="B97" s="186">
        <f>ROUND(9/20*CORE!$B$14,3)</f>
        <v>0.45</v>
      </c>
      <c r="C97" s="186">
        <f>ROUND(CORE!$B$14-B97,3)</f>
        <v>0.55000000000000004</v>
      </c>
      <c r="D97" s="186">
        <f>ROUND(-(CORE!$B$14-B97),3)</f>
        <v>-0.55000000000000004</v>
      </c>
      <c r="E97" s="186">
        <f t="shared" si="0"/>
        <v>1</v>
      </c>
    </row>
    <row r="98" spans="1:9" ht="15" customHeight="1" x14ac:dyDescent="0.25">
      <c r="A98" s="309">
        <v>11</v>
      </c>
      <c r="B98" s="186">
        <f>ROUND(10/20*CORE!$B$14,3)</f>
        <v>0.5</v>
      </c>
      <c r="C98" s="186">
        <f>ROUND(CORE!$B$14-B98,3)</f>
        <v>0.5</v>
      </c>
      <c r="D98" s="186">
        <f>ROUND(-(CORE!$B$14-B98),3)</f>
        <v>-0.5</v>
      </c>
      <c r="E98" s="186">
        <f t="shared" si="0"/>
        <v>1</v>
      </c>
    </row>
    <row r="99" spans="1:9" ht="15" customHeight="1" x14ac:dyDescent="0.25">
      <c r="A99" s="309">
        <v>12</v>
      </c>
      <c r="B99" s="186">
        <f>ROUND(11/20*CORE!$B$14,3)</f>
        <v>0.55000000000000004</v>
      </c>
      <c r="C99" s="186">
        <f>ROUND(CORE!$B$14-B99,3)</f>
        <v>0.45</v>
      </c>
      <c r="D99" s="186">
        <f>ROUND(-(CORE!$B$14-B99),3)</f>
        <v>-0.45</v>
      </c>
      <c r="E99" s="186">
        <f t="shared" si="0"/>
        <v>1</v>
      </c>
    </row>
    <row r="100" spans="1:9" ht="15" customHeight="1" x14ac:dyDescent="0.25">
      <c r="A100" s="309">
        <v>13</v>
      </c>
      <c r="B100" s="186">
        <f>ROUND(12/20*CORE!$B$14,3)</f>
        <v>0.6</v>
      </c>
      <c r="C100" s="186">
        <f>ROUND(CORE!$B$14-B100,3)</f>
        <v>0.4</v>
      </c>
      <c r="D100" s="186">
        <f>ROUND(-(CORE!$B$14-B100),3)</f>
        <v>-0.4</v>
      </c>
      <c r="E100" s="186">
        <f t="shared" si="0"/>
        <v>1</v>
      </c>
    </row>
    <row r="101" spans="1:9" ht="15" customHeight="1" x14ac:dyDescent="0.25">
      <c r="A101" s="309">
        <v>14</v>
      </c>
      <c r="B101" s="186">
        <f>ROUND(13/20*CORE!$B$14,3)</f>
        <v>0.65</v>
      </c>
      <c r="C101" s="186">
        <f>ROUND(CORE!$B$14-B101,3)</f>
        <v>0.35</v>
      </c>
      <c r="D101" s="186">
        <f>ROUND(-(CORE!$B$14-B101),3)</f>
        <v>-0.35</v>
      </c>
      <c r="E101" s="186">
        <f t="shared" si="0"/>
        <v>1</v>
      </c>
    </row>
    <row r="102" spans="1:9" ht="15" customHeight="1" x14ac:dyDescent="0.25">
      <c r="A102" s="309">
        <v>15</v>
      </c>
      <c r="B102" s="186">
        <f>ROUND(14/20*CORE!$B$14,3)</f>
        <v>0.7</v>
      </c>
      <c r="C102" s="186">
        <f>ROUND(CORE!$B$14-B102,3)</f>
        <v>0.3</v>
      </c>
      <c r="D102" s="186">
        <f>ROUND(-(CORE!$B$14-B102),3)</f>
        <v>-0.3</v>
      </c>
      <c r="E102" s="186">
        <f t="shared" si="0"/>
        <v>1</v>
      </c>
    </row>
    <row r="103" spans="1:9" ht="15" customHeight="1" x14ac:dyDescent="0.25">
      <c r="A103" s="309">
        <v>16</v>
      </c>
      <c r="B103" s="186">
        <f>ROUND(15/20*CORE!$B$14,3)</f>
        <v>0.75</v>
      </c>
      <c r="C103" s="186">
        <f>ROUND(CORE!$B$14-B103,3)</f>
        <v>0.25</v>
      </c>
      <c r="D103" s="186">
        <f>ROUND(-(CORE!$B$14-B103),3)</f>
        <v>-0.25</v>
      </c>
      <c r="E103" s="186">
        <f t="shared" si="0"/>
        <v>1</v>
      </c>
    </row>
    <row r="104" spans="1:9" ht="15" customHeight="1" x14ac:dyDescent="0.25">
      <c r="A104" s="309">
        <v>17</v>
      </c>
      <c r="B104" s="186">
        <f>ROUND(16/20*CORE!$B$14,3)</f>
        <v>0.8</v>
      </c>
      <c r="C104" s="186">
        <f>ROUND(CORE!$B$14-B104,3)</f>
        <v>0.2</v>
      </c>
      <c r="D104" s="186">
        <f>ROUND(-(CORE!$B$14-B104),3)</f>
        <v>-0.2</v>
      </c>
      <c r="E104" s="186">
        <f t="shared" si="0"/>
        <v>1</v>
      </c>
    </row>
    <row r="105" spans="1:9" ht="15" customHeight="1" x14ac:dyDescent="0.25">
      <c r="A105" s="309">
        <v>18</v>
      </c>
      <c r="B105" s="186">
        <f>ROUND(17/20*CORE!$B$14,3)</f>
        <v>0.85</v>
      </c>
      <c r="C105" s="186">
        <f>ROUND(CORE!$B$14-B105,3)</f>
        <v>0.15</v>
      </c>
      <c r="D105" s="186">
        <f>ROUND(-(CORE!$B$14-B105),3)</f>
        <v>-0.15</v>
      </c>
      <c r="E105" s="186">
        <f t="shared" si="0"/>
        <v>1</v>
      </c>
    </row>
    <row r="106" spans="1:9" ht="15" customHeight="1" x14ac:dyDescent="0.25">
      <c r="A106" s="309">
        <v>19</v>
      </c>
      <c r="B106" s="186">
        <f>ROUND(18/20*CORE!$B$14,3)</f>
        <v>0.9</v>
      </c>
      <c r="C106" s="186">
        <f>ROUND(CORE!$B$14-B106,3)</f>
        <v>0.1</v>
      </c>
      <c r="D106" s="186">
        <f>ROUND(-(CORE!$B$14-B106),3)</f>
        <v>-0.1</v>
      </c>
      <c r="E106" s="186">
        <f t="shared" si="0"/>
        <v>1</v>
      </c>
    </row>
    <row r="107" spans="1:9" ht="15" customHeight="1" x14ac:dyDescent="0.25">
      <c r="A107" s="309">
        <v>20</v>
      </c>
      <c r="B107" s="186">
        <f>ROUND(19/20*CORE!$B$14,3)</f>
        <v>0.95</v>
      </c>
      <c r="C107" s="186">
        <f>ROUND(CORE!$B$14-B107,3)</f>
        <v>0.05</v>
      </c>
      <c r="D107" s="186">
        <f>ROUND(-(CORE!$B$14-B107),3)</f>
        <v>-0.05</v>
      </c>
      <c r="E107" s="186">
        <f t="shared" si="0"/>
        <v>1</v>
      </c>
    </row>
    <row r="108" spans="1:9" ht="15" customHeight="1" x14ac:dyDescent="0.25">
      <c r="A108" s="309">
        <v>21</v>
      </c>
      <c r="B108" s="186">
        <f>ROUND(20/20*CORE!$B$14,3)</f>
        <v>1</v>
      </c>
      <c r="C108" s="186">
        <f>ROUND(CORE!$B$14-B108,3)</f>
        <v>0</v>
      </c>
      <c r="D108" s="186">
        <f>ROUND(-(CORE!$B$14-B108),3)</f>
        <v>0</v>
      </c>
      <c r="E108" s="186">
        <f t="shared" si="0"/>
        <v>1</v>
      </c>
    </row>
    <row r="110" spans="1:9" ht="15" customHeight="1" x14ac:dyDescent="0.25">
      <c r="A110" s="436" t="s">
        <v>854</v>
      </c>
      <c r="B110" s="436"/>
      <c r="C110" s="436"/>
      <c r="D110" s="436"/>
      <c r="E110" s="436"/>
      <c r="F110" s="436"/>
      <c r="G110" s="436"/>
    </row>
    <row r="111" spans="1:9" ht="21.75" customHeight="1" x14ac:dyDescent="0.25">
      <c r="A111" s="307" t="s">
        <v>855</v>
      </c>
      <c r="B111" s="310" t="s">
        <v>856</v>
      </c>
      <c r="C111" s="437" t="s">
        <v>857</v>
      </c>
      <c r="D111" s="437"/>
      <c r="E111" s="435" t="s">
        <v>858</v>
      </c>
      <c r="F111" s="435"/>
      <c r="G111" s="435"/>
      <c r="H111" s="435"/>
      <c r="I111" s="435"/>
    </row>
    <row r="112" spans="1:9" ht="21.75" customHeight="1" x14ac:dyDescent="0.25">
      <c r="A112" s="307" t="s">
        <v>859</v>
      </c>
      <c r="B112" s="310" t="s">
        <v>860</v>
      </c>
      <c r="C112" s="437" t="s">
        <v>861</v>
      </c>
      <c r="D112" s="437"/>
      <c r="E112" s="435" t="s">
        <v>862</v>
      </c>
      <c r="F112" s="435"/>
      <c r="G112" s="435"/>
      <c r="H112" s="435"/>
      <c r="I112" s="435"/>
    </row>
    <row r="113" spans="1:9" ht="21.75" customHeight="1" x14ac:dyDescent="0.25">
      <c r="A113" s="307" t="s">
        <v>863</v>
      </c>
      <c r="B113" s="310" t="s">
        <v>864</v>
      </c>
      <c r="C113" s="437" t="s">
        <v>865</v>
      </c>
      <c r="D113" s="437"/>
      <c r="E113" s="435" t="s">
        <v>866</v>
      </c>
      <c r="F113" s="435"/>
      <c r="G113" s="435"/>
      <c r="H113" s="435"/>
      <c r="I113" s="435"/>
    </row>
    <row r="114" spans="1:9" ht="21.75" customHeight="1" x14ac:dyDescent="0.25">
      <c r="A114" s="307" t="s">
        <v>867</v>
      </c>
      <c r="B114" s="310" t="s">
        <v>868</v>
      </c>
      <c r="C114" s="437" t="s">
        <v>869</v>
      </c>
      <c r="D114" s="437"/>
      <c r="E114" s="435" t="s">
        <v>870</v>
      </c>
      <c r="F114" s="435"/>
      <c r="G114" s="435"/>
      <c r="H114" s="435"/>
      <c r="I114" s="435"/>
    </row>
  </sheetData>
  <mergeCells count="18">
    <mergeCell ref="C114:D114"/>
    <mergeCell ref="E114:I114"/>
    <mergeCell ref="C111:D111"/>
    <mergeCell ref="E111:I111"/>
    <mergeCell ref="C112:D112"/>
    <mergeCell ref="E112:I112"/>
    <mergeCell ref="C113:D113"/>
    <mergeCell ref="E113:I113"/>
    <mergeCell ref="D82:G82"/>
    <mergeCell ref="D83:G83"/>
    <mergeCell ref="D84:G84"/>
    <mergeCell ref="A86:G86"/>
    <mergeCell ref="A110:G110"/>
    <mergeCell ref="A1:G1"/>
    <mergeCell ref="A2:G2"/>
    <mergeCell ref="A79:I79"/>
    <mergeCell ref="D80:G80"/>
    <mergeCell ref="D81:G81"/>
  </mergeCells>
  <pageMargins left="0.75" right="0.75" top="1" bottom="1" header="0.511811023622047" footer="0.511811023622047"/>
  <pageSetup fitToHeight="0"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67E22"/>
    <pageSetUpPr fitToPage="1"/>
  </sheetPr>
  <dimension ref="A1:L36"/>
  <sheetViews>
    <sheetView zoomScaleNormal="100" workbookViewId="0">
      <selection sqref="A1:J1"/>
    </sheetView>
  </sheetViews>
  <sheetFormatPr defaultColWidth="8.7109375" defaultRowHeight="15" x14ac:dyDescent="0.25"/>
  <cols>
    <col min="1" max="10" width="14" customWidth="1"/>
    <col min="11" max="11" width="8" customWidth="1"/>
    <col min="12" max="12" width="22" customWidth="1"/>
  </cols>
  <sheetData>
    <row r="1" spans="1:12" ht="17.25" customHeight="1" x14ac:dyDescent="0.25">
      <c r="A1" s="438" t="s">
        <v>871</v>
      </c>
      <c r="B1" s="438"/>
      <c r="C1" s="438"/>
      <c r="D1" s="438"/>
      <c r="E1" s="438"/>
      <c r="F1" s="438"/>
      <c r="G1" s="438"/>
      <c r="H1" s="438"/>
      <c r="I1" s="438"/>
      <c r="J1" s="438"/>
    </row>
    <row r="3" spans="1:12" ht="15" customHeight="1" x14ac:dyDescent="0.25">
      <c r="A3" s="439" t="s">
        <v>680</v>
      </c>
      <c r="B3" s="439"/>
      <c r="C3" s="439"/>
      <c r="D3" s="439"/>
      <c r="E3" s="439"/>
      <c r="F3" s="439"/>
      <c r="G3" s="439"/>
      <c r="H3" s="439"/>
      <c r="I3" s="439"/>
      <c r="J3" s="439"/>
    </row>
    <row r="4" spans="1:12" ht="30" customHeight="1" x14ac:dyDescent="0.25">
      <c r="A4" s="45" t="s">
        <v>812</v>
      </c>
      <c r="B4" s="52" t="s">
        <v>872</v>
      </c>
      <c r="C4" s="45" t="s">
        <v>525</v>
      </c>
      <c r="D4" s="45" t="s">
        <v>873</v>
      </c>
      <c r="E4" s="45" t="s">
        <v>874</v>
      </c>
      <c r="F4" s="45" t="s">
        <v>875</v>
      </c>
      <c r="G4" s="45" t="s">
        <v>55</v>
      </c>
      <c r="H4" s="45" t="s">
        <v>876</v>
      </c>
      <c r="I4" s="52" t="s">
        <v>877</v>
      </c>
      <c r="J4" s="45" t="s">
        <v>816</v>
      </c>
      <c r="K4" s="52" t="s">
        <v>878</v>
      </c>
      <c r="L4" s="52" t="s">
        <v>879</v>
      </c>
    </row>
    <row r="5" spans="1:12" ht="15" customHeight="1" x14ac:dyDescent="0.25">
      <c r="A5" s="43" t="s">
        <v>819</v>
      </c>
      <c r="B5" s="311">
        <f>ROUND(TANH(K5*Calibration!$C$26),4)</f>
        <v>0.24729999999999999</v>
      </c>
      <c r="C5" s="62">
        <v>0.45</v>
      </c>
      <c r="D5" s="312">
        <v>80</v>
      </c>
      <c r="E5" s="61">
        <f t="shared" ref="E5:E12" si="0">MIN(10,MAX(1,2*LN(D5+1)))</f>
        <v>8.7888983093448783</v>
      </c>
      <c r="F5" s="58">
        <v>0.4</v>
      </c>
      <c r="G5" s="61">
        <f t="shared" ref="G5:G12" si="1">(10-E5)*F5</f>
        <v>0.48444067626204873</v>
      </c>
      <c r="H5" s="76">
        <f t="shared" ref="H5:H12" si="2">MIN(1,MAX(0,(10-G5)/10))</f>
        <v>0.95155593237379521</v>
      </c>
      <c r="I5" s="311">
        <f>TANH(H5)*(CORE!$B$14-B5)</f>
        <v>0.55736429705305468</v>
      </c>
      <c r="J5" s="217" t="str">
        <f>IF(ABS(I5)+ABS(B5)&lt;=CORE!$B$14,"VALID","VIOLATION")</f>
        <v>VALID</v>
      </c>
      <c r="K5" s="313">
        <v>0.125</v>
      </c>
      <c r="L5" s="314" t="s">
        <v>880</v>
      </c>
    </row>
    <row r="6" spans="1:12" ht="15" customHeight="1" x14ac:dyDescent="0.25">
      <c r="A6" s="43" t="s">
        <v>821</v>
      </c>
      <c r="B6" s="311">
        <f>ROUND(TANH(K6*Calibration!$C$26),4)</f>
        <v>0.46600000000000003</v>
      </c>
      <c r="C6" s="62">
        <v>0.55000000000000004</v>
      </c>
      <c r="D6" s="312">
        <v>100</v>
      </c>
      <c r="E6" s="61">
        <f t="shared" si="0"/>
        <v>9.2302410336825194</v>
      </c>
      <c r="F6" s="58">
        <v>0.55000000000000004</v>
      </c>
      <c r="G6" s="61">
        <f t="shared" si="1"/>
        <v>0.42336743147461436</v>
      </c>
      <c r="H6" s="76">
        <f t="shared" si="2"/>
        <v>0.9576632568525385</v>
      </c>
      <c r="I6" s="311">
        <f>TANH(H6)*(CORE!$B$14-B6)</f>
        <v>0.39688628557124661</v>
      </c>
      <c r="J6" s="217" t="str">
        <f>IF(ABS(I6)+ABS(B6)&lt;=CORE!$B$14,"VALID","VIOLATION")</f>
        <v>VALID</v>
      </c>
      <c r="K6" s="313">
        <v>0.25</v>
      </c>
      <c r="L6" s="314" t="s">
        <v>881</v>
      </c>
    </row>
    <row r="7" spans="1:12" ht="15" customHeight="1" x14ac:dyDescent="0.25">
      <c r="A7" s="43" t="s">
        <v>822</v>
      </c>
      <c r="B7" s="311">
        <f>ROUND(TANH(K7*Calibration!$C$26),4)</f>
        <v>0.63959999999999995</v>
      </c>
      <c r="C7" s="62">
        <v>0.65</v>
      </c>
      <c r="D7" s="312">
        <v>130</v>
      </c>
      <c r="E7" s="61">
        <f t="shared" si="0"/>
        <v>9.7503946464023024</v>
      </c>
      <c r="F7" s="58">
        <v>0.68</v>
      </c>
      <c r="G7" s="61">
        <f t="shared" si="1"/>
        <v>0.16973164044643441</v>
      </c>
      <c r="H7" s="76">
        <f t="shared" si="2"/>
        <v>0.98302683595535656</v>
      </c>
      <c r="I7" s="311">
        <f>TANH(H7)*(CORE!$B$14-B7)</f>
        <v>0.27187610606665841</v>
      </c>
      <c r="J7" s="217" t="str">
        <f>IF(ABS(I7)+ABS(B7)&lt;=CORE!$B$14,"VALID","VIOLATION")</f>
        <v>VALID</v>
      </c>
      <c r="K7" s="313">
        <v>0.375</v>
      </c>
      <c r="L7" s="314" t="s">
        <v>882</v>
      </c>
    </row>
    <row r="8" spans="1:12" ht="15" customHeight="1" x14ac:dyDescent="0.25">
      <c r="A8" s="43" t="s">
        <v>823</v>
      </c>
      <c r="B8" s="311">
        <f>ROUND(TANH(K8*Calibration!$C$26),4)</f>
        <v>0.76580000000000004</v>
      </c>
      <c r="C8" s="62">
        <v>0.72</v>
      </c>
      <c r="D8" s="312">
        <v>150</v>
      </c>
      <c r="E8" s="61">
        <f t="shared" si="0"/>
        <v>10</v>
      </c>
      <c r="F8" s="58">
        <v>0.82</v>
      </c>
      <c r="G8" s="61">
        <f t="shared" si="1"/>
        <v>0</v>
      </c>
      <c r="H8" s="76">
        <f t="shared" si="2"/>
        <v>1</v>
      </c>
      <c r="I8" s="311">
        <f>TANH(H8)*(CORE!$B$14-B8)</f>
        <v>0.1783653513248401</v>
      </c>
      <c r="J8" s="217" t="str">
        <f>IF(ABS(I8)+ABS(B8)&lt;=CORE!$B$14,"VALID","VIOLATION")</f>
        <v>VALID</v>
      </c>
      <c r="K8" s="313">
        <v>0.5</v>
      </c>
      <c r="L8" s="314" t="s">
        <v>883</v>
      </c>
    </row>
    <row r="9" spans="1:12" ht="15" customHeight="1" x14ac:dyDescent="0.25">
      <c r="A9" s="43" t="s">
        <v>824</v>
      </c>
      <c r="B9" s="311">
        <f>ROUND(TANH(K9*Calibration!$C$26),4)</f>
        <v>0.8518</v>
      </c>
      <c r="C9" s="62">
        <v>0.78</v>
      </c>
      <c r="D9" s="312">
        <v>170</v>
      </c>
      <c r="E9" s="61">
        <f t="shared" si="0"/>
        <v>10</v>
      </c>
      <c r="F9" s="58">
        <v>0.88</v>
      </c>
      <c r="G9" s="61">
        <f t="shared" si="1"/>
        <v>0</v>
      </c>
      <c r="H9" s="76">
        <f t="shared" si="2"/>
        <v>1</v>
      </c>
      <c r="I9" s="311">
        <f>TANH(H9)*(CORE!$B$14-B9)</f>
        <v>0.11286825391264435</v>
      </c>
      <c r="J9" s="217" t="str">
        <f>IF(ABS(I9)+ABS(B9)&lt;=CORE!$B$14,"VALID","VIOLATION")</f>
        <v>VALID</v>
      </c>
      <c r="K9" s="313">
        <v>0.625</v>
      </c>
      <c r="L9" s="314" t="s">
        <v>884</v>
      </c>
    </row>
    <row r="10" spans="1:12" ht="15" customHeight="1" x14ac:dyDescent="0.25">
      <c r="A10" s="43" t="s">
        <v>825</v>
      </c>
      <c r="B10" s="311">
        <f>ROUND(TANH(K10*Calibration!$C$26),4)</f>
        <v>0.90780000000000005</v>
      </c>
      <c r="C10" s="62">
        <v>0.8</v>
      </c>
      <c r="D10" s="312">
        <v>180</v>
      </c>
      <c r="E10" s="61">
        <f t="shared" si="0"/>
        <v>10</v>
      </c>
      <c r="F10" s="58">
        <v>0.92</v>
      </c>
      <c r="G10" s="61">
        <f t="shared" si="1"/>
        <v>0</v>
      </c>
      <c r="H10" s="76">
        <f t="shared" si="2"/>
        <v>1</v>
      </c>
      <c r="I10" s="311">
        <f>TANH(H10)*(CORE!$B$14-B10)</f>
        <v>7.0218981179121481E-2</v>
      </c>
      <c r="J10" s="217" t="str">
        <f>IF(ABS(I10)+ABS(B10)&lt;=CORE!$B$14,"VALID","VIOLATION")</f>
        <v>VALID</v>
      </c>
      <c r="K10" s="313">
        <v>0.75</v>
      </c>
      <c r="L10" s="314" t="s">
        <v>885</v>
      </c>
    </row>
    <row r="11" spans="1:12" ht="15" customHeight="1" x14ac:dyDescent="0.25">
      <c r="A11" s="43" t="s">
        <v>826</v>
      </c>
      <c r="B11" s="311">
        <f>ROUND(TANH(K11*Calibration!$C$26),4)</f>
        <v>0.94330000000000003</v>
      </c>
      <c r="C11" s="62">
        <v>0.75</v>
      </c>
      <c r="D11" s="312">
        <v>160</v>
      </c>
      <c r="E11" s="61">
        <f t="shared" si="0"/>
        <v>10</v>
      </c>
      <c r="F11" s="58">
        <v>0.85</v>
      </c>
      <c r="G11" s="61">
        <f t="shared" si="1"/>
        <v>0</v>
      </c>
      <c r="H11" s="76">
        <f t="shared" si="2"/>
        <v>1</v>
      </c>
      <c r="I11" s="311">
        <f>TANH(H11)*(CORE!$B$14-B11)</f>
        <v>4.3182388642691846E-2</v>
      </c>
      <c r="J11" s="217" t="str">
        <f>IF(ABS(I11)+ABS(B11)&lt;=CORE!$B$14,"VALID","VIOLATION")</f>
        <v>VALID</v>
      </c>
      <c r="K11" s="313">
        <v>0.875</v>
      </c>
      <c r="L11" s="314" t="s">
        <v>886</v>
      </c>
    </row>
    <row r="12" spans="1:12" ht="15" customHeight="1" x14ac:dyDescent="0.25">
      <c r="A12" s="43" t="s">
        <v>827</v>
      </c>
      <c r="B12" s="311">
        <f>ROUND(TANH(K12*Calibration!$C$26),4)</f>
        <v>0.96540000000000004</v>
      </c>
      <c r="C12" s="62">
        <v>0.7</v>
      </c>
      <c r="D12" s="312">
        <v>140</v>
      </c>
      <c r="E12" s="61">
        <f t="shared" si="0"/>
        <v>9.8975197807563369</v>
      </c>
      <c r="F12" s="58">
        <v>0.78</v>
      </c>
      <c r="G12" s="61">
        <f t="shared" si="1"/>
        <v>7.9934571010057243E-2</v>
      </c>
      <c r="H12" s="76">
        <f t="shared" si="2"/>
        <v>0.99200654289899437</v>
      </c>
      <c r="I12" s="311">
        <f>TANH(H12)*(CORE!$B$14-B12)</f>
        <v>2.6234295029224527E-2</v>
      </c>
      <c r="J12" s="217" t="str">
        <f>IF(ABS(I12)+ABS(B12)&lt;=CORE!$B$14,"VALID","VIOLATION")</f>
        <v>VALID</v>
      </c>
      <c r="K12" s="313">
        <v>1</v>
      </c>
      <c r="L12" s="314" t="s">
        <v>887</v>
      </c>
    </row>
    <row r="15" spans="1:12" ht="15" customHeight="1" x14ac:dyDescent="0.25">
      <c r="A15" s="439" t="s">
        <v>681</v>
      </c>
      <c r="B15" s="439"/>
      <c r="C15" s="439"/>
      <c r="D15" s="439"/>
      <c r="E15" s="439"/>
      <c r="F15" s="439"/>
      <c r="G15" s="439"/>
      <c r="H15" s="439"/>
      <c r="I15" s="439"/>
      <c r="J15" s="439"/>
    </row>
    <row r="16" spans="1:12" ht="30" customHeight="1" x14ac:dyDescent="0.25">
      <c r="A16" s="45" t="s">
        <v>812</v>
      </c>
      <c r="B16" s="52" t="s">
        <v>872</v>
      </c>
      <c r="C16" s="45" t="s">
        <v>525</v>
      </c>
      <c r="D16" s="45" t="s">
        <v>873</v>
      </c>
      <c r="E16" s="45" t="s">
        <v>874</v>
      </c>
      <c r="F16" s="45" t="s">
        <v>875</v>
      </c>
      <c r="G16" s="45" t="s">
        <v>55</v>
      </c>
      <c r="H16" s="45" t="s">
        <v>876</v>
      </c>
      <c r="I16" s="52" t="s">
        <v>877</v>
      </c>
      <c r="J16" s="45" t="s">
        <v>816</v>
      </c>
      <c r="K16" s="52" t="s">
        <v>878</v>
      </c>
      <c r="L16" s="52" t="s">
        <v>879</v>
      </c>
    </row>
    <row r="17" spans="1:12" ht="15" customHeight="1" x14ac:dyDescent="0.25">
      <c r="A17" s="43" t="s">
        <v>819</v>
      </c>
      <c r="B17" s="311">
        <f>ROUND(TANH(K17*Calibration!$C$26),4)</f>
        <v>0.24729999999999999</v>
      </c>
      <c r="C17" s="62">
        <v>0.2</v>
      </c>
      <c r="D17" s="312">
        <v>30</v>
      </c>
      <c r="E17" s="61">
        <f t="shared" ref="E17:E24" si="3">MIN(10,MAX(1,2*LN(D17+1)))</f>
        <v>6.8679744089702925</v>
      </c>
      <c r="F17" s="58">
        <v>0.2</v>
      </c>
      <c r="G17" s="61">
        <f t="shared" ref="G17:G24" si="4">(10-E17)*F17</f>
        <v>0.62640511820594158</v>
      </c>
      <c r="H17" s="76">
        <f t="shared" ref="H17:H24" si="5">MIN(1,MAX(0,(10-G17)/10))</f>
        <v>0.93735948817940584</v>
      </c>
      <c r="I17" s="311">
        <f>TANH(H17)*(CORE!$B$14-B17)</f>
        <v>0.5524868562168529</v>
      </c>
      <c r="J17" s="217" t="str">
        <f>IF(ABS(I17)+ABS(B17)&lt;=CORE!$B$14,"VALID","VIOLATION")</f>
        <v>VALID</v>
      </c>
      <c r="K17" s="313">
        <v>0.125</v>
      </c>
      <c r="L17" s="314" t="s">
        <v>880</v>
      </c>
    </row>
    <row r="18" spans="1:12" ht="15" customHeight="1" x14ac:dyDescent="0.25">
      <c r="A18" s="43" t="s">
        <v>821</v>
      </c>
      <c r="B18" s="311">
        <f>ROUND(TANH(K18*Calibration!$C$26),4)</f>
        <v>0.46600000000000003</v>
      </c>
      <c r="C18" s="62">
        <v>0.25</v>
      </c>
      <c r="D18" s="312">
        <v>40</v>
      </c>
      <c r="E18" s="61">
        <f t="shared" si="3"/>
        <v>7.4271441334086159</v>
      </c>
      <c r="F18" s="58">
        <v>0.28000000000000003</v>
      </c>
      <c r="G18" s="61">
        <f t="shared" si="4"/>
        <v>0.72039964264558765</v>
      </c>
      <c r="H18" s="76">
        <f t="shared" si="5"/>
        <v>0.92796003573544128</v>
      </c>
      <c r="I18" s="311">
        <f>TANH(H18)*(CORE!$B$14-B18)</f>
        <v>0.38962849694235391</v>
      </c>
      <c r="J18" s="217" t="str">
        <f>IF(ABS(I18)+ABS(B18)&lt;=CORE!$B$14,"VALID","VIOLATION")</f>
        <v>VALID</v>
      </c>
      <c r="K18" s="313">
        <v>0.25</v>
      </c>
      <c r="L18" s="314" t="s">
        <v>881</v>
      </c>
    </row>
    <row r="19" spans="1:12" ht="15" customHeight="1" x14ac:dyDescent="0.25">
      <c r="A19" s="43" t="s">
        <v>822</v>
      </c>
      <c r="B19" s="311">
        <f>ROUND(TANH(K19*Calibration!$C$26),4)</f>
        <v>0.63959999999999995</v>
      </c>
      <c r="C19" s="62">
        <v>0.3</v>
      </c>
      <c r="D19" s="312">
        <v>50</v>
      </c>
      <c r="E19" s="61">
        <f t="shared" si="3"/>
        <v>7.8636512654486515</v>
      </c>
      <c r="F19" s="58">
        <v>0.35</v>
      </c>
      <c r="G19" s="61">
        <f t="shared" si="4"/>
        <v>0.7477220570929719</v>
      </c>
      <c r="H19" s="76">
        <f t="shared" si="5"/>
        <v>0.92522779429070279</v>
      </c>
      <c r="I19" s="311">
        <f>TANH(H19)*(CORE!$B$14-B19)</f>
        <v>0.26250136598148727</v>
      </c>
      <c r="J19" s="217" t="str">
        <f>IF(ABS(I19)+ABS(B19)&lt;=CORE!$B$14,"VALID","VIOLATION")</f>
        <v>VALID</v>
      </c>
      <c r="K19" s="313">
        <v>0.375</v>
      </c>
      <c r="L19" s="314" t="s">
        <v>882</v>
      </c>
    </row>
    <row r="20" spans="1:12" ht="15" customHeight="1" x14ac:dyDescent="0.25">
      <c r="A20" s="43" t="s">
        <v>823</v>
      </c>
      <c r="B20" s="311">
        <f>ROUND(TANH(K20*Calibration!$C$26),4)</f>
        <v>0.76580000000000004</v>
      </c>
      <c r="C20" s="62">
        <v>0.35</v>
      </c>
      <c r="D20" s="312">
        <v>60</v>
      </c>
      <c r="E20" s="61">
        <f t="shared" si="3"/>
        <v>8.2217477283466227</v>
      </c>
      <c r="F20" s="58">
        <v>0.42</v>
      </c>
      <c r="G20" s="61">
        <f t="shared" si="4"/>
        <v>0.74686595409441847</v>
      </c>
      <c r="H20" s="76">
        <f t="shared" si="5"/>
        <v>0.92531340459055811</v>
      </c>
      <c r="I20" s="311">
        <f>TANH(H20)*(CORE!$B$14-B20)</f>
        <v>0.17059159887353975</v>
      </c>
      <c r="J20" s="217" t="str">
        <f>IF(ABS(I20)+ABS(B20)&lt;=CORE!$B$14,"VALID","VIOLATION")</f>
        <v>VALID</v>
      </c>
      <c r="K20" s="313">
        <v>0.5</v>
      </c>
      <c r="L20" s="314" t="s">
        <v>883</v>
      </c>
    </row>
    <row r="21" spans="1:12" ht="15" customHeight="1" x14ac:dyDescent="0.25">
      <c r="A21" s="43" t="s">
        <v>824</v>
      </c>
      <c r="B21" s="311">
        <f>ROUND(TANH(K21*Calibration!$C$26),4)</f>
        <v>0.8518</v>
      </c>
      <c r="C21" s="62">
        <v>0.4</v>
      </c>
      <c r="D21" s="312">
        <v>75</v>
      </c>
      <c r="E21" s="61">
        <f t="shared" si="3"/>
        <v>8.6614666805726621</v>
      </c>
      <c r="F21" s="58">
        <v>0.55000000000000004</v>
      </c>
      <c r="G21" s="61">
        <f t="shared" si="4"/>
        <v>0.73619332568503593</v>
      </c>
      <c r="H21" s="76">
        <f t="shared" si="5"/>
        <v>0.92638066743149639</v>
      </c>
      <c r="I21" s="311">
        <f>TANH(H21)*(CORE!$B$14-B21)</f>
        <v>0.10802327327679381</v>
      </c>
      <c r="J21" s="217" t="str">
        <f>IF(ABS(I21)+ABS(B21)&lt;=CORE!$B$14,"VALID","VIOLATION")</f>
        <v>VALID</v>
      </c>
      <c r="K21" s="313">
        <v>0.625</v>
      </c>
      <c r="L21" s="314" t="s">
        <v>884</v>
      </c>
    </row>
    <row r="22" spans="1:12" ht="15" customHeight="1" x14ac:dyDescent="0.25">
      <c r="A22" s="43" t="s">
        <v>825</v>
      </c>
      <c r="B22" s="311">
        <f>ROUND(TANH(K22*Calibration!$C$26),4)</f>
        <v>0.90780000000000005</v>
      </c>
      <c r="C22" s="62">
        <v>0.5</v>
      </c>
      <c r="D22" s="312">
        <v>85</v>
      </c>
      <c r="E22" s="61">
        <f t="shared" si="3"/>
        <v>8.9086945925070147</v>
      </c>
      <c r="F22" s="58">
        <v>0.65</v>
      </c>
      <c r="G22" s="61">
        <f t="shared" si="4"/>
        <v>0.70934851487044048</v>
      </c>
      <c r="H22" s="76">
        <f t="shared" si="5"/>
        <v>0.92906514851295596</v>
      </c>
      <c r="I22" s="311">
        <f>TANH(H22)*(CORE!$B$14-B22)</f>
        <v>6.7320543639875288E-2</v>
      </c>
      <c r="J22" s="217" t="str">
        <f>IF(ABS(I22)+ABS(B22)&lt;=CORE!$B$14,"VALID","VIOLATION")</f>
        <v>VALID</v>
      </c>
      <c r="K22" s="313">
        <v>0.75</v>
      </c>
      <c r="L22" s="314" t="s">
        <v>885</v>
      </c>
    </row>
    <row r="23" spans="1:12" ht="15" customHeight="1" x14ac:dyDescent="0.25">
      <c r="A23" s="43" t="s">
        <v>826</v>
      </c>
      <c r="B23" s="311">
        <f>ROUND(TANH(K23*Calibration!$C$26),4)</f>
        <v>0.94330000000000003</v>
      </c>
      <c r="C23" s="62">
        <v>0.6</v>
      </c>
      <c r="D23" s="312">
        <v>90</v>
      </c>
      <c r="E23" s="61">
        <f t="shared" si="3"/>
        <v>9.0217190130336995</v>
      </c>
      <c r="F23" s="58">
        <v>0.75</v>
      </c>
      <c r="G23" s="61">
        <f t="shared" si="4"/>
        <v>0.73371074022472538</v>
      </c>
      <c r="H23" s="76">
        <f t="shared" si="5"/>
        <v>0.92662892597752733</v>
      </c>
      <c r="I23" s="311">
        <f>TANH(H23)*(CORE!$B$14-B23)</f>
        <v>4.133533858097152E-2</v>
      </c>
      <c r="J23" s="217" t="str">
        <f>IF(ABS(I23)+ABS(B23)&lt;=CORE!$B$14,"VALID","VIOLATION")</f>
        <v>VALID</v>
      </c>
      <c r="K23" s="313">
        <v>0.875</v>
      </c>
      <c r="L23" s="314" t="s">
        <v>886</v>
      </c>
    </row>
    <row r="24" spans="1:12" ht="15" customHeight="1" x14ac:dyDescent="0.25">
      <c r="A24" s="43" t="s">
        <v>827</v>
      </c>
      <c r="B24" s="311">
        <f>ROUND(TANH(K24*Calibration!$C$26),4)</f>
        <v>0.96540000000000004</v>
      </c>
      <c r="C24" s="62">
        <v>0.7</v>
      </c>
      <c r="D24" s="312">
        <v>95</v>
      </c>
      <c r="E24" s="61">
        <f t="shared" si="3"/>
        <v>9.1286963829356722</v>
      </c>
      <c r="F24" s="58">
        <v>0.85</v>
      </c>
      <c r="G24" s="61">
        <f t="shared" si="4"/>
        <v>0.74060807450467858</v>
      </c>
      <c r="H24" s="76">
        <f t="shared" si="5"/>
        <v>0.92593919254953216</v>
      </c>
      <c r="I24" s="311">
        <f>TANH(H24)*(CORE!$B$14-B24)</f>
        <v>2.5212846730614503E-2</v>
      </c>
      <c r="J24" s="217" t="str">
        <f>IF(ABS(I24)+ABS(B24)&lt;=CORE!$B$14,"VALID","VIOLATION")</f>
        <v>VALID</v>
      </c>
      <c r="K24" s="313">
        <v>1</v>
      </c>
      <c r="L24" s="314" t="s">
        <v>887</v>
      </c>
    </row>
    <row r="27" spans="1:12" ht="15" customHeight="1" x14ac:dyDescent="0.25">
      <c r="A27" s="439" t="s">
        <v>828</v>
      </c>
      <c r="B27" s="439"/>
      <c r="C27" s="439"/>
      <c r="D27" s="439"/>
      <c r="E27" s="439"/>
      <c r="F27" s="439"/>
      <c r="G27" s="439"/>
      <c r="H27" s="439"/>
      <c r="I27" s="439"/>
      <c r="J27" s="439"/>
    </row>
    <row r="28" spans="1:12" ht="30" customHeight="1" x14ac:dyDescent="0.25">
      <c r="A28" s="45" t="s">
        <v>812</v>
      </c>
      <c r="B28" s="52" t="s">
        <v>872</v>
      </c>
      <c r="C28" s="45" t="s">
        <v>525</v>
      </c>
      <c r="D28" s="45" t="s">
        <v>873</v>
      </c>
      <c r="E28" s="45" t="s">
        <v>874</v>
      </c>
      <c r="F28" s="45" t="s">
        <v>875</v>
      </c>
      <c r="G28" s="45" t="s">
        <v>55</v>
      </c>
      <c r="H28" s="45" t="s">
        <v>876</v>
      </c>
      <c r="I28" s="52" t="s">
        <v>877</v>
      </c>
      <c r="J28" s="45" t="s">
        <v>816</v>
      </c>
      <c r="K28" s="52" t="s">
        <v>878</v>
      </c>
      <c r="L28" s="52" t="s">
        <v>879</v>
      </c>
    </row>
    <row r="29" spans="1:12" ht="15" customHeight="1" x14ac:dyDescent="0.25">
      <c r="A29" s="43" t="s">
        <v>819</v>
      </c>
      <c r="B29" s="311">
        <f>ROUND(TANH(K29*Calibration!$C$26),4)</f>
        <v>0.24729999999999999</v>
      </c>
      <c r="C29" s="62">
        <v>0.35</v>
      </c>
      <c r="D29" s="312">
        <v>120</v>
      </c>
      <c r="E29" s="61">
        <f t="shared" ref="E29:E36" si="6">MIN(10,MAX(1,2*LN(D29+1)))</f>
        <v>9.5915810911934827</v>
      </c>
      <c r="F29" s="58">
        <v>0.6</v>
      </c>
      <c r="G29" s="61">
        <f t="shared" ref="G29:G36" si="7">(10-E29)*F29</f>
        <v>0.24505134528391037</v>
      </c>
      <c r="H29" s="76">
        <f t="shared" ref="H29:H36" si="8">MIN(1,MAX(0,(10-G29)/10))</f>
        <v>0.97549486547160902</v>
      </c>
      <c r="I29" s="311">
        <f>TANH(H29)*(CORE!$B$14-B29)</f>
        <v>0.56535977711709573</v>
      </c>
      <c r="J29" s="217" t="str">
        <f>IF(ABS(I29)+ABS(B29)&lt;=CORE!$B$14,"VALID","VIOLATION")</f>
        <v>VALID</v>
      </c>
      <c r="K29" s="313">
        <v>0.125</v>
      </c>
      <c r="L29" s="314" t="s">
        <v>880</v>
      </c>
    </row>
    <row r="30" spans="1:12" ht="15" customHeight="1" x14ac:dyDescent="0.25">
      <c r="A30" s="43" t="s">
        <v>821</v>
      </c>
      <c r="B30" s="311">
        <f>ROUND(TANH(K30*Calibration!$C$26),4)</f>
        <v>0.46600000000000003</v>
      </c>
      <c r="C30" s="62">
        <v>0.42</v>
      </c>
      <c r="D30" s="312">
        <v>150</v>
      </c>
      <c r="E30" s="61">
        <f t="shared" si="6"/>
        <v>10</v>
      </c>
      <c r="F30" s="58">
        <v>0.72</v>
      </c>
      <c r="G30" s="61">
        <f t="shared" si="7"/>
        <v>0</v>
      </c>
      <c r="H30" s="76">
        <f t="shared" si="8"/>
        <v>1</v>
      </c>
      <c r="I30" s="311">
        <f>TANH(H30)*(CORE!$B$14-B30)</f>
        <v>0.40669127928037846</v>
      </c>
      <c r="J30" s="217" t="str">
        <f>IF(ABS(I30)+ABS(B30)&lt;=CORE!$B$14,"VALID","VIOLATION")</f>
        <v>VALID</v>
      </c>
      <c r="K30" s="313">
        <v>0.25</v>
      </c>
      <c r="L30" s="314" t="s">
        <v>881</v>
      </c>
    </row>
    <row r="31" spans="1:12" ht="15" customHeight="1" x14ac:dyDescent="0.25">
      <c r="A31" s="43" t="s">
        <v>822</v>
      </c>
      <c r="B31" s="311">
        <f>ROUND(TANH(K31*Calibration!$C$26),4)</f>
        <v>0.63959999999999995</v>
      </c>
      <c r="C31" s="62">
        <v>0.48</v>
      </c>
      <c r="D31" s="312">
        <v>180</v>
      </c>
      <c r="E31" s="61">
        <f t="shared" si="6"/>
        <v>10</v>
      </c>
      <c r="F31" s="58">
        <v>0.82</v>
      </c>
      <c r="G31" s="61">
        <f t="shared" si="7"/>
        <v>0</v>
      </c>
      <c r="H31" s="76">
        <f t="shared" si="8"/>
        <v>1</v>
      </c>
      <c r="I31" s="311">
        <f>TANH(H31)*(CORE!$B$14-B31)</f>
        <v>0.2744785338064577</v>
      </c>
      <c r="J31" s="217" t="str">
        <f>IF(ABS(I31)+ABS(B31)&lt;=CORE!$B$14,"VALID","VIOLATION")</f>
        <v>VALID</v>
      </c>
      <c r="K31" s="313">
        <v>0.375</v>
      </c>
      <c r="L31" s="314" t="s">
        <v>882</v>
      </c>
    </row>
    <row r="32" spans="1:12" ht="15" customHeight="1" x14ac:dyDescent="0.25">
      <c r="A32" s="43" t="s">
        <v>823</v>
      </c>
      <c r="B32" s="311">
        <f>ROUND(TANH(K32*Calibration!$C$26),4)</f>
        <v>0.76580000000000004</v>
      </c>
      <c r="C32" s="62">
        <v>0.55000000000000004</v>
      </c>
      <c r="D32" s="312">
        <v>200</v>
      </c>
      <c r="E32" s="61">
        <f t="shared" si="6"/>
        <v>10</v>
      </c>
      <c r="F32" s="58">
        <v>0.9</v>
      </c>
      <c r="G32" s="61">
        <f t="shared" si="7"/>
        <v>0</v>
      </c>
      <c r="H32" s="76">
        <f t="shared" si="8"/>
        <v>1</v>
      </c>
      <c r="I32" s="311">
        <f>TANH(H32)*(CORE!$B$14-B32)</f>
        <v>0.1783653513248401</v>
      </c>
      <c r="J32" s="217" t="str">
        <f>IF(ABS(I32)+ABS(B32)&lt;=CORE!$B$14,"VALID","VIOLATION")</f>
        <v>VALID</v>
      </c>
      <c r="K32" s="313">
        <v>0.5</v>
      </c>
      <c r="L32" s="314" t="s">
        <v>883</v>
      </c>
    </row>
    <row r="33" spans="1:12" ht="15" customHeight="1" x14ac:dyDescent="0.25">
      <c r="A33" s="43" t="s">
        <v>824</v>
      </c>
      <c r="B33" s="311">
        <f>ROUND(TANH(K33*Calibration!$C$26),4)</f>
        <v>0.8518</v>
      </c>
      <c r="C33" s="62">
        <v>0.6</v>
      </c>
      <c r="D33" s="312">
        <v>220</v>
      </c>
      <c r="E33" s="61">
        <f t="shared" si="6"/>
        <v>10</v>
      </c>
      <c r="F33" s="58">
        <v>0.95</v>
      </c>
      <c r="G33" s="61">
        <f t="shared" si="7"/>
        <v>0</v>
      </c>
      <c r="H33" s="76">
        <f t="shared" si="8"/>
        <v>1</v>
      </c>
      <c r="I33" s="311">
        <f>TANH(H33)*(CORE!$B$14-B33)</f>
        <v>0.11286825391264435</v>
      </c>
      <c r="J33" s="217" t="str">
        <f>IF(ABS(I33)+ABS(B33)&lt;=CORE!$B$14,"VALID","VIOLATION")</f>
        <v>VALID</v>
      </c>
      <c r="K33" s="313">
        <v>0.625</v>
      </c>
      <c r="L33" s="314" t="s">
        <v>884</v>
      </c>
    </row>
    <row r="34" spans="1:12" ht="15" customHeight="1" x14ac:dyDescent="0.25">
      <c r="A34" s="43" t="s">
        <v>825</v>
      </c>
      <c r="B34" s="311">
        <f>ROUND(TANH(K34*Calibration!$C$26),4)</f>
        <v>0.90780000000000005</v>
      </c>
      <c r="C34" s="62">
        <v>0.57999999999999996</v>
      </c>
      <c r="D34" s="312">
        <v>210</v>
      </c>
      <c r="E34" s="61">
        <f t="shared" si="6"/>
        <v>10</v>
      </c>
      <c r="F34" s="58">
        <v>0.88</v>
      </c>
      <c r="G34" s="61">
        <f t="shared" si="7"/>
        <v>0</v>
      </c>
      <c r="H34" s="76">
        <f t="shared" si="8"/>
        <v>1</v>
      </c>
      <c r="I34" s="311">
        <f>TANH(H34)*(CORE!$B$14-B34)</f>
        <v>7.0218981179121481E-2</v>
      </c>
      <c r="J34" s="217" t="str">
        <f>IF(ABS(I34)+ABS(B34)&lt;=CORE!$B$14,"VALID","VIOLATION")</f>
        <v>VALID</v>
      </c>
      <c r="K34" s="313">
        <v>0.75</v>
      </c>
      <c r="L34" s="314" t="s">
        <v>885</v>
      </c>
    </row>
    <row r="35" spans="1:12" ht="15" customHeight="1" x14ac:dyDescent="0.25">
      <c r="A35" s="43" t="s">
        <v>826</v>
      </c>
      <c r="B35" s="311">
        <f>ROUND(TANH(K35*Calibration!$C$26),4)</f>
        <v>0.94330000000000003</v>
      </c>
      <c r="C35" s="62">
        <v>0.52</v>
      </c>
      <c r="D35" s="312">
        <v>190</v>
      </c>
      <c r="E35" s="61">
        <f t="shared" si="6"/>
        <v>10</v>
      </c>
      <c r="F35" s="58">
        <v>0.8</v>
      </c>
      <c r="G35" s="61">
        <f t="shared" si="7"/>
        <v>0</v>
      </c>
      <c r="H35" s="76">
        <f t="shared" si="8"/>
        <v>1</v>
      </c>
      <c r="I35" s="311">
        <f>TANH(H35)*(CORE!$B$14-B35)</f>
        <v>4.3182388642691846E-2</v>
      </c>
      <c r="J35" s="217" t="str">
        <f>IF(ABS(I35)+ABS(B35)&lt;=CORE!$B$14,"VALID","VIOLATION")</f>
        <v>VALID</v>
      </c>
      <c r="K35" s="313">
        <v>0.875</v>
      </c>
      <c r="L35" s="314" t="s">
        <v>886</v>
      </c>
    </row>
    <row r="36" spans="1:12" ht="15" customHeight="1" x14ac:dyDescent="0.25">
      <c r="A36" s="43" t="s">
        <v>827</v>
      </c>
      <c r="B36" s="311">
        <f>ROUND(TANH(K36*Calibration!$C$26),4)</f>
        <v>0.96540000000000004</v>
      </c>
      <c r="C36" s="62">
        <v>0.45</v>
      </c>
      <c r="D36" s="312">
        <v>170</v>
      </c>
      <c r="E36" s="61">
        <f t="shared" si="6"/>
        <v>10</v>
      </c>
      <c r="F36" s="58">
        <v>0.72</v>
      </c>
      <c r="G36" s="61">
        <f t="shared" si="7"/>
        <v>0</v>
      </c>
      <c r="H36" s="76">
        <f t="shared" si="8"/>
        <v>1</v>
      </c>
      <c r="I36" s="311">
        <f>TANH(H36)*(CORE!$B$14-B36)</f>
        <v>2.6351157796069436E-2</v>
      </c>
      <c r="J36" s="217" t="str">
        <f>IF(ABS(I36)+ABS(B36)&lt;=CORE!$B$14,"VALID","VIOLATION")</f>
        <v>VALID</v>
      </c>
      <c r="K36" s="313">
        <v>1</v>
      </c>
      <c r="L36" s="314" t="s">
        <v>887</v>
      </c>
    </row>
  </sheetData>
  <mergeCells count="4">
    <mergeCell ref="A1:J1"/>
    <mergeCell ref="A3:J3"/>
    <mergeCell ref="A15:J15"/>
    <mergeCell ref="A27:J27"/>
  </mergeCells>
  <pageMargins left="0.75" right="0.75" top="1" bottom="1" header="0.511811023622047" footer="0.511811023622047"/>
  <pageSetup fitToHeight="0"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392B"/>
    <pageSetUpPr fitToPage="1"/>
  </sheetPr>
  <dimension ref="A1:L36"/>
  <sheetViews>
    <sheetView zoomScaleNormal="100" workbookViewId="0">
      <selection sqref="A1:J1"/>
    </sheetView>
  </sheetViews>
  <sheetFormatPr defaultColWidth="8.7109375" defaultRowHeight="15" x14ac:dyDescent="0.25"/>
  <cols>
    <col min="1" max="10" width="14" customWidth="1"/>
    <col min="11" max="11" width="8" customWidth="1"/>
    <col min="12" max="12" width="22" customWidth="1"/>
  </cols>
  <sheetData>
    <row r="1" spans="1:12" ht="17.25" customHeight="1" x14ac:dyDescent="0.25">
      <c r="A1" s="440" t="s">
        <v>888</v>
      </c>
      <c r="B1" s="440"/>
      <c r="C1" s="440"/>
      <c r="D1" s="440"/>
      <c r="E1" s="440"/>
      <c r="F1" s="440"/>
      <c r="G1" s="440"/>
      <c r="H1" s="440"/>
      <c r="I1" s="440"/>
      <c r="J1" s="440"/>
    </row>
    <row r="3" spans="1:12" ht="15" customHeight="1" x14ac:dyDescent="0.25">
      <c r="A3" s="439" t="s">
        <v>829</v>
      </c>
      <c r="B3" s="439"/>
      <c r="C3" s="439"/>
      <c r="D3" s="439"/>
      <c r="E3" s="439"/>
      <c r="F3" s="439"/>
      <c r="G3" s="439"/>
      <c r="H3" s="439"/>
      <c r="I3" s="439"/>
      <c r="J3" s="439"/>
    </row>
    <row r="4" spans="1:12" ht="30" customHeight="1" x14ac:dyDescent="0.25">
      <c r="A4" s="45" t="s">
        <v>812</v>
      </c>
      <c r="B4" s="52" t="s">
        <v>872</v>
      </c>
      <c r="C4" s="45" t="s">
        <v>575</v>
      </c>
      <c r="D4" s="45" t="s">
        <v>873</v>
      </c>
      <c r="E4" s="45" t="s">
        <v>874</v>
      </c>
      <c r="F4" s="45" t="s">
        <v>889</v>
      </c>
      <c r="G4" s="45" t="s">
        <v>890</v>
      </c>
      <c r="H4" s="45" t="s">
        <v>891</v>
      </c>
      <c r="I4" s="52" t="s">
        <v>877</v>
      </c>
      <c r="J4" s="45" t="s">
        <v>816</v>
      </c>
      <c r="K4" s="52" t="s">
        <v>878</v>
      </c>
      <c r="L4" s="52" t="s">
        <v>879</v>
      </c>
    </row>
    <row r="5" spans="1:12" ht="15" customHeight="1" x14ac:dyDescent="0.25">
      <c r="A5" s="43" t="s">
        <v>819</v>
      </c>
      <c r="B5" s="311">
        <f>ROUND(TANH(K5*Calibration!$C$26),4)</f>
        <v>0.24729999999999999</v>
      </c>
      <c r="C5" s="57">
        <v>5</v>
      </c>
      <c r="D5" s="312">
        <v>50</v>
      </c>
      <c r="E5" s="61">
        <f t="shared" ref="E5:E12" si="0">MIN(10,MAX(1,2*LN(D5+1)))</f>
        <v>7.8636512654486515</v>
      </c>
      <c r="F5" s="62">
        <v>0.2</v>
      </c>
      <c r="G5" s="214">
        <f t="shared" ref="G5:G12" si="1">D5*(1-F5)</f>
        <v>40</v>
      </c>
      <c r="H5" s="61">
        <f t="shared" ref="H5:H12" si="2">MIN(10,MAX(1,2*LN(G5+1)))</f>
        <v>7.4271441334086159</v>
      </c>
      <c r="I5" s="311">
        <f>TANH(H5/10)*(CORE!$B$14-B5)</f>
        <v>0.47478987173084963</v>
      </c>
      <c r="J5" s="217" t="str">
        <f>IF(ABS(I5)+ABS(B5)&lt;=CORE!$B$14,"VALID","VIOLATION")</f>
        <v>VALID</v>
      </c>
      <c r="K5" s="313">
        <v>0.125</v>
      </c>
      <c r="L5" s="314" t="s">
        <v>880</v>
      </c>
    </row>
    <row r="6" spans="1:12" ht="15" customHeight="1" x14ac:dyDescent="0.25">
      <c r="A6" s="43" t="s">
        <v>821</v>
      </c>
      <c r="B6" s="311">
        <f>ROUND(TANH(K6*Calibration!$C$26),4)</f>
        <v>0.46600000000000003</v>
      </c>
      <c r="C6" s="57">
        <v>7</v>
      </c>
      <c r="D6" s="312">
        <v>150</v>
      </c>
      <c r="E6" s="61">
        <f t="shared" si="0"/>
        <v>10</v>
      </c>
      <c r="F6" s="62">
        <v>0.4</v>
      </c>
      <c r="G6" s="214">
        <f t="shared" si="1"/>
        <v>90</v>
      </c>
      <c r="H6" s="61">
        <f t="shared" si="2"/>
        <v>9.0217190130336995</v>
      </c>
      <c r="I6" s="311">
        <f>TANH(H6/10)*(CORE!$B$14-B6)</f>
        <v>0.3830669090729279</v>
      </c>
      <c r="J6" s="217" t="str">
        <f>IF(ABS(I6)+ABS(B6)&lt;=CORE!$B$14,"VALID","VIOLATION")</f>
        <v>VALID</v>
      </c>
      <c r="K6" s="313">
        <v>0.25</v>
      </c>
      <c r="L6" s="314" t="s">
        <v>881</v>
      </c>
    </row>
    <row r="7" spans="1:12" ht="15" customHeight="1" x14ac:dyDescent="0.25">
      <c r="A7" s="43" t="s">
        <v>822</v>
      </c>
      <c r="B7" s="311">
        <f>ROUND(TANH(K7*Calibration!$C$26),4)</f>
        <v>0.63959999999999995</v>
      </c>
      <c r="C7" s="57">
        <v>9</v>
      </c>
      <c r="D7" s="312">
        <v>300</v>
      </c>
      <c r="E7" s="61">
        <f t="shared" si="0"/>
        <v>10</v>
      </c>
      <c r="F7" s="62">
        <v>0.6</v>
      </c>
      <c r="G7" s="214">
        <f t="shared" si="1"/>
        <v>120</v>
      </c>
      <c r="H7" s="61">
        <f t="shared" si="2"/>
        <v>9.5915810911934827</v>
      </c>
      <c r="I7" s="311">
        <f>TANH(H7/10)*(CORE!$B$14-B7)</f>
        <v>0.26810195821798433</v>
      </c>
      <c r="J7" s="217" t="str">
        <f>IF(ABS(I7)+ABS(B7)&lt;=CORE!$B$14,"VALID","VIOLATION")</f>
        <v>VALID</v>
      </c>
      <c r="K7" s="313">
        <v>0.375</v>
      </c>
      <c r="L7" s="314" t="s">
        <v>882</v>
      </c>
    </row>
    <row r="8" spans="1:12" ht="15" customHeight="1" x14ac:dyDescent="0.25">
      <c r="A8" s="43" t="s">
        <v>823</v>
      </c>
      <c r="B8" s="311">
        <f>ROUND(TANH(K8*Calibration!$C$26),4)</f>
        <v>0.76580000000000004</v>
      </c>
      <c r="C8" s="57">
        <v>9</v>
      </c>
      <c r="D8" s="312">
        <v>320</v>
      </c>
      <c r="E8" s="61">
        <f t="shared" si="0"/>
        <v>10</v>
      </c>
      <c r="F8" s="62">
        <v>0.72</v>
      </c>
      <c r="G8" s="214">
        <f t="shared" si="1"/>
        <v>89.600000000000009</v>
      </c>
      <c r="H8" s="61">
        <f t="shared" si="2"/>
        <v>9.0129084260978676</v>
      </c>
      <c r="I8" s="311">
        <f>TANH(H8/10)*(CORE!$B$14-B8)</f>
        <v>0.16790402772433283</v>
      </c>
      <c r="J8" s="217" t="str">
        <f>IF(ABS(I8)+ABS(B8)&lt;=CORE!$B$14,"VALID","VIOLATION")</f>
        <v>VALID</v>
      </c>
      <c r="K8" s="313">
        <v>0.5</v>
      </c>
      <c r="L8" s="314" t="s">
        <v>883</v>
      </c>
    </row>
    <row r="9" spans="1:12" ht="15" customHeight="1" x14ac:dyDescent="0.25">
      <c r="A9" s="43" t="s">
        <v>824</v>
      </c>
      <c r="B9" s="311">
        <f>ROUND(TANH(K9*Calibration!$C$26),4)</f>
        <v>0.8518</v>
      </c>
      <c r="C9" s="57">
        <v>8</v>
      </c>
      <c r="D9" s="312">
        <v>250</v>
      </c>
      <c r="E9" s="61">
        <f t="shared" si="0"/>
        <v>10</v>
      </c>
      <c r="F9" s="62">
        <v>0.8</v>
      </c>
      <c r="G9" s="214">
        <f t="shared" si="1"/>
        <v>49.999999999999986</v>
      </c>
      <c r="H9" s="61">
        <f t="shared" si="2"/>
        <v>7.8636512654486506</v>
      </c>
      <c r="I9" s="311">
        <f>TANH(H9/10)*(CORE!$B$14-B9)</f>
        <v>9.7270322827527733E-2</v>
      </c>
      <c r="J9" s="217" t="str">
        <f>IF(ABS(I9)+ABS(B9)&lt;=CORE!$B$14,"VALID","VIOLATION")</f>
        <v>VALID</v>
      </c>
      <c r="K9" s="313">
        <v>0.625</v>
      </c>
      <c r="L9" s="314" t="s">
        <v>884</v>
      </c>
    </row>
    <row r="10" spans="1:12" ht="15" customHeight="1" x14ac:dyDescent="0.25">
      <c r="A10" s="43" t="s">
        <v>825</v>
      </c>
      <c r="B10" s="311">
        <f>ROUND(TANH(K10*Calibration!$C$26),4)</f>
        <v>0.90780000000000005</v>
      </c>
      <c r="C10" s="57">
        <v>6</v>
      </c>
      <c r="D10" s="312">
        <v>180</v>
      </c>
      <c r="E10" s="61">
        <f t="shared" si="0"/>
        <v>10</v>
      </c>
      <c r="F10" s="62">
        <v>0.85</v>
      </c>
      <c r="G10" s="214">
        <f t="shared" si="1"/>
        <v>27.000000000000004</v>
      </c>
      <c r="H10" s="61">
        <f t="shared" si="2"/>
        <v>6.6644090203504085</v>
      </c>
      <c r="I10" s="311">
        <f>TANH(H10/10)*(CORE!$B$14-B10)</f>
        <v>5.3718839945503576E-2</v>
      </c>
      <c r="J10" s="217" t="str">
        <f>IF(ABS(I10)+ABS(B10)&lt;=CORE!$B$14,"VALID","VIOLATION")</f>
        <v>VALID</v>
      </c>
      <c r="K10" s="313">
        <v>0.75</v>
      </c>
      <c r="L10" s="314" t="s">
        <v>885</v>
      </c>
    </row>
    <row r="11" spans="1:12" ht="15" customHeight="1" x14ac:dyDescent="0.25">
      <c r="A11" s="43" t="s">
        <v>826</v>
      </c>
      <c r="B11" s="311">
        <f>ROUND(TANH(K11*Calibration!$C$26),4)</f>
        <v>0.94330000000000003</v>
      </c>
      <c r="C11" s="57">
        <v>4</v>
      </c>
      <c r="D11" s="312">
        <v>100</v>
      </c>
      <c r="E11" s="61">
        <f t="shared" si="0"/>
        <v>9.2302410336825194</v>
      </c>
      <c r="F11" s="62">
        <v>0.88</v>
      </c>
      <c r="G11" s="214">
        <f t="shared" si="1"/>
        <v>12</v>
      </c>
      <c r="H11" s="61">
        <f t="shared" si="2"/>
        <v>5.1298987149230735</v>
      </c>
      <c r="I11" s="311">
        <f>TANH(H11/10)*(CORE!$B$14-B11)</f>
        <v>2.6777793272031489E-2</v>
      </c>
      <c r="J11" s="217" t="str">
        <f>IF(ABS(I11)+ABS(B11)&lt;=CORE!$B$14,"VALID","VIOLATION")</f>
        <v>VALID</v>
      </c>
      <c r="K11" s="313">
        <v>0.875</v>
      </c>
      <c r="L11" s="314" t="s">
        <v>886</v>
      </c>
    </row>
    <row r="12" spans="1:12" ht="15" customHeight="1" x14ac:dyDescent="0.25">
      <c r="A12" s="43" t="s">
        <v>827</v>
      </c>
      <c r="B12" s="311">
        <f>ROUND(TANH(K12*Calibration!$C$26),4)</f>
        <v>0.96540000000000004</v>
      </c>
      <c r="C12" s="57">
        <v>3</v>
      </c>
      <c r="D12" s="312">
        <v>60</v>
      </c>
      <c r="E12" s="61">
        <f t="shared" si="0"/>
        <v>8.2217477283466227</v>
      </c>
      <c r="F12" s="62">
        <v>0.9</v>
      </c>
      <c r="G12" s="214">
        <f t="shared" si="1"/>
        <v>5.9999999999999982</v>
      </c>
      <c r="H12" s="61">
        <f t="shared" si="2"/>
        <v>3.891820298110626</v>
      </c>
      <c r="I12" s="311">
        <f>TANH(H12/10)*(CORE!$B$14-B12)</f>
        <v>1.282465775993933E-2</v>
      </c>
      <c r="J12" s="217" t="str">
        <f>IF(ABS(I12)+ABS(B12)&lt;=CORE!$B$14,"VALID","VIOLATION")</f>
        <v>VALID</v>
      </c>
      <c r="K12" s="313">
        <v>1</v>
      </c>
      <c r="L12" s="314" t="s">
        <v>887</v>
      </c>
    </row>
    <row r="15" spans="1:12" ht="15" customHeight="1" x14ac:dyDescent="0.25">
      <c r="A15" s="439" t="s">
        <v>831</v>
      </c>
      <c r="B15" s="439"/>
      <c r="C15" s="439"/>
      <c r="D15" s="439"/>
      <c r="E15" s="439"/>
      <c r="F15" s="439"/>
      <c r="G15" s="439"/>
      <c r="H15" s="439"/>
      <c r="I15" s="439"/>
      <c r="J15" s="439"/>
    </row>
    <row r="16" spans="1:12" ht="30" customHeight="1" x14ac:dyDescent="0.25">
      <c r="A16" s="45" t="s">
        <v>812</v>
      </c>
      <c r="B16" s="52" t="s">
        <v>872</v>
      </c>
      <c r="C16" s="45" t="s">
        <v>575</v>
      </c>
      <c r="D16" s="45" t="s">
        <v>873</v>
      </c>
      <c r="E16" s="45" t="s">
        <v>874</v>
      </c>
      <c r="F16" s="45" t="s">
        <v>889</v>
      </c>
      <c r="G16" s="45" t="s">
        <v>890</v>
      </c>
      <c r="H16" s="45" t="s">
        <v>891</v>
      </c>
      <c r="I16" s="52" t="s">
        <v>877</v>
      </c>
      <c r="J16" s="45" t="s">
        <v>816</v>
      </c>
      <c r="K16" s="52" t="s">
        <v>878</v>
      </c>
      <c r="L16" s="52" t="s">
        <v>879</v>
      </c>
    </row>
    <row r="17" spans="1:12" ht="15" customHeight="1" x14ac:dyDescent="0.25">
      <c r="A17" s="43" t="s">
        <v>819</v>
      </c>
      <c r="B17" s="311">
        <f>ROUND(TANH(K17*Calibration!$C$26),4)</f>
        <v>0.24729999999999999</v>
      </c>
      <c r="C17" s="57">
        <v>3</v>
      </c>
      <c r="D17" s="312">
        <v>100</v>
      </c>
      <c r="E17" s="61">
        <f t="shared" ref="E17:E24" si="3">MIN(10,MAX(1,2*LN(D17+1)))</f>
        <v>9.2302410336825194</v>
      </c>
      <c r="F17" s="62">
        <v>0.1</v>
      </c>
      <c r="G17" s="214">
        <f t="shared" ref="G17:G24" si="4">D17*(1-F17)</f>
        <v>90</v>
      </c>
      <c r="H17" s="61">
        <f t="shared" ref="H17:H24" si="5">MIN(10,MAX(1,2*LN(G17+1)))</f>
        <v>9.0217190130336995</v>
      </c>
      <c r="I17" s="311">
        <f>TANH(H17/10)*(CORE!$B$14-B17)</f>
        <v>0.53995217688987418</v>
      </c>
      <c r="J17" s="217" t="str">
        <f>IF(ABS(I17)+ABS(B17)&lt;=CORE!$B$14,"VALID","VIOLATION")</f>
        <v>VALID</v>
      </c>
      <c r="K17" s="313">
        <v>0.125</v>
      </c>
      <c r="L17" s="314" t="s">
        <v>880</v>
      </c>
    </row>
    <row r="18" spans="1:12" ht="15" customHeight="1" x14ac:dyDescent="0.25">
      <c r="A18" s="43" t="s">
        <v>821</v>
      </c>
      <c r="B18" s="311">
        <f>ROUND(TANH(K18*Calibration!$C$26),4)</f>
        <v>0.46600000000000003</v>
      </c>
      <c r="C18" s="57">
        <v>4</v>
      </c>
      <c r="D18" s="312">
        <v>200</v>
      </c>
      <c r="E18" s="61">
        <f t="shared" si="3"/>
        <v>10</v>
      </c>
      <c r="F18" s="62">
        <v>0.2</v>
      </c>
      <c r="G18" s="214">
        <f t="shared" si="4"/>
        <v>160</v>
      </c>
      <c r="H18" s="61">
        <f t="shared" si="5"/>
        <v>10</v>
      </c>
      <c r="I18" s="311">
        <f>TANH(H18/10)*(CORE!$B$14-B18)</f>
        <v>0.40669127928037846</v>
      </c>
      <c r="J18" s="217" t="str">
        <f>IF(ABS(I18)+ABS(B18)&lt;=CORE!$B$14,"VALID","VIOLATION")</f>
        <v>VALID</v>
      </c>
      <c r="K18" s="313">
        <v>0.25</v>
      </c>
      <c r="L18" s="314" t="s">
        <v>881</v>
      </c>
    </row>
    <row r="19" spans="1:12" ht="15" customHeight="1" x14ac:dyDescent="0.25">
      <c r="A19" s="43" t="s">
        <v>822</v>
      </c>
      <c r="B19" s="311">
        <f>ROUND(TANH(K19*Calibration!$C$26),4)</f>
        <v>0.63959999999999995</v>
      </c>
      <c r="C19" s="57">
        <v>5</v>
      </c>
      <c r="D19" s="312">
        <v>350</v>
      </c>
      <c r="E19" s="61">
        <f t="shared" si="3"/>
        <v>10</v>
      </c>
      <c r="F19" s="62">
        <v>0.35</v>
      </c>
      <c r="G19" s="214">
        <f t="shared" si="4"/>
        <v>227.5</v>
      </c>
      <c r="H19" s="61">
        <f t="shared" si="5"/>
        <v>10</v>
      </c>
      <c r="I19" s="311">
        <f>TANH(H19/10)*(CORE!$B$14-B19)</f>
        <v>0.2744785338064577</v>
      </c>
      <c r="J19" s="217" t="str">
        <f>IF(ABS(I19)+ABS(B19)&lt;=CORE!$B$14,"VALID","VIOLATION")</f>
        <v>VALID</v>
      </c>
      <c r="K19" s="313">
        <v>0.375</v>
      </c>
      <c r="L19" s="314" t="s">
        <v>882</v>
      </c>
    </row>
    <row r="20" spans="1:12" ht="15" customHeight="1" x14ac:dyDescent="0.25">
      <c r="A20" s="43" t="s">
        <v>823</v>
      </c>
      <c r="B20" s="311">
        <f>ROUND(TANH(K20*Calibration!$C$26),4)</f>
        <v>0.76580000000000004</v>
      </c>
      <c r="C20" s="57">
        <v>6</v>
      </c>
      <c r="D20" s="312">
        <v>500</v>
      </c>
      <c r="E20" s="61">
        <f t="shared" si="3"/>
        <v>10</v>
      </c>
      <c r="F20" s="62">
        <v>0.5</v>
      </c>
      <c r="G20" s="214">
        <f t="shared" si="4"/>
        <v>250</v>
      </c>
      <c r="H20" s="61">
        <f t="shared" si="5"/>
        <v>10</v>
      </c>
      <c r="I20" s="311">
        <f>TANH(H20/10)*(CORE!$B$14-B20)</f>
        <v>0.1783653513248401</v>
      </c>
      <c r="J20" s="217" t="str">
        <f>IF(ABS(I20)+ABS(B20)&lt;=CORE!$B$14,"VALID","VIOLATION")</f>
        <v>VALID</v>
      </c>
      <c r="K20" s="313">
        <v>0.5</v>
      </c>
      <c r="L20" s="314" t="s">
        <v>883</v>
      </c>
    </row>
    <row r="21" spans="1:12" ht="15" customHeight="1" x14ac:dyDescent="0.25">
      <c r="A21" s="43" t="s">
        <v>824</v>
      </c>
      <c r="B21" s="311">
        <f>ROUND(TANH(K21*Calibration!$C$26),4)</f>
        <v>0.8518</v>
      </c>
      <c r="C21" s="57">
        <v>6</v>
      </c>
      <c r="D21" s="312">
        <v>480</v>
      </c>
      <c r="E21" s="61">
        <f t="shared" si="3"/>
        <v>10</v>
      </c>
      <c r="F21" s="62">
        <v>0.57999999999999996</v>
      </c>
      <c r="G21" s="214">
        <f t="shared" si="4"/>
        <v>201.60000000000002</v>
      </c>
      <c r="H21" s="61">
        <f t="shared" si="5"/>
        <v>10</v>
      </c>
      <c r="I21" s="311">
        <f>TANH(H21/10)*(CORE!$B$14-B21)</f>
        <v>0.11286825391264435</v>
      </c>
      <c r="J21" s="217" t="str">
        <f>IF(ABS(I21)+ABS(B21)&lt;=CORE!$B$14,"VALID","VIOLATION")</f>
        <v>VALID</v>
      </c>
      <c r="K21" s="313">
        <v>0.625</v>
      </c>
      <c r="L21" s="314" t="s">
        <v>884</v>
      </c>
    </row>
    <row r="22" spans="1:12" ht="15" customHeight="1" x14ac:dyDescent="0.25">
      <c r="A22" s="43" t="s">
        <v>825</v>
      </c>
      <c r="B22" s="311">
        <f>ROUND(TANH(K22*Calibration!$C$26),4)</f>
        <v>0.90780000000000005</v>
      </c>
      <c r="C22" s="57">
        <v>7</v>
      </c>
      <c r="D22" s="312">
        <v>420</v>
      </c>
      <c r="E22" s="61">
        <f t="shared" si="3"/>
        <v>10</v>
      </c>
      <c r="F22" s="62">
        <v>0.62</v>
      </c>
      <c r="G22" s="214">
        <f t="shared" si="4"/>
        <v>159.6</v>
      </c>
      <c r="H22" s="61">
        <f t="shared" si="5"/>
        <v>10</v>
      </c>
      <c r="I22" s="311">
        <f>TANH(H22/10)*(CORE!$B$14-B22)</f>
        <v>7.0218981179121481E-2</v>
      </c>
      <c r="J22" s="217" t="str">
        <f>IF(ABS(I22)+ABS(B22)&lt;=CORE!$B$14,"VALID","VIOLATION")</f>
        <v>VALID</v>
      </c>
      <c r="K22" s="313">
        <v>0.75</v>
      </c>
      <c r="L22" s="314" t="s">
        <v>885</v>
      </c>
    </row>
    <row r="23" spans="1:12" ht="15" customHeight="1" x14ac:dyDescent="0.25">
      <c r="A23" s="43" t="s">
        <v>826</v>
      </c>
      <c r="B23" s="311">
        <f>ROUND(TANH(K23*Calibration!$C$26),4)</f>
        <v>0.94330000000000003</v>
      </c>
      <c r="C23" s="57">
        <v>7</v>
      </c>
      <c r="D23" s="312">
        <v>350</v>
      </c>
      <c r="E23" s="61">
        <f t="shared" si="3"/>
        <v>10</v>
      </c>
      <c r="F23" s="62">
        <v>0.68</v>
      </c>
      <c r="G23" s="214">
        <f t="shared" si="4"/>
        <v>111.99999999999999</v>
      </c>
      <c r="H23" s="61">
        <f t="shared" si="5"/>
        <v>9.4547756374246816</v>
      </c>
      <c r="I23" s="311">
        <f>TANH(H23/10)*(CORE!$B$14-B23)</f>
        <v>4.1829222419470208E-2</v>
      </c>
      <c r="J23" s="217" t="str">
        <f>IF(ABS(I23)+ABS(B23)&lt;=CORE!$B$14,"VALID","VIOLATION")</f>
        <v>VALID</v>
      </c>
      <c r="K23" s="313">
        <v>0.875</v>
      </c>
      <c r="L23" s="314" t="s">
        <v>886</v>
      </c>
    </row>
    <row r="24" spans="1:12" ht="15" customHeight="1" x14ac:dyDescent="0.25">
      <c r="A24" s="43" t="s">
        <v>827</v>
      </c>
      <c r="B24" s="311">
        <f>ROUND(TANH(K24*Calibration!$C$26),4)</f>
        <v>0.96540000000000004</v>
      </c>
      <c r="C24" s="57">
        <v>6</v>
      </c>
      <c r="D24" s="312">
        <v>300</v>
      </c>
      <c r="E24" s="61">
        <f t="shared" si="3"/>
        <v>10</v>
      </c>
      <c r="F24" s="62">
        <v>0.72</v>
      </c>
      <c r="G24" s="214">
        <f t="shared" si="4"/>
        <v>84.000000000000014</v>
      </c>
      <c r="H24" s="61">
        <f t="shared" si="5"/>
        <v>8.8853025129806333</v>
      </c>
      <c r="I24" s="311">
        <f>TANH(H24/10)*(CORE!$B$14-B24)</f>
        <v>2.4589079438083902E-2</v>
      </c>
      <c r="J24" s="217" t="str">
        <f>IF(ABS(I24)+ABS(B24)&lt;=CORE!$B$14,"VALID","VIOLATION")</f>
        <v>VALID</v>
      </c>
      <c r="K24" s="313">
        <v>1</v>
      </c>
      <c r="L24" s="314" t="s">
        <v>887</v>
      </c>
    </row>
    <row r="27" spans="1:12" ht="15" customHeight="1" x14ac:dyDescent="0.25">
      <c r="A27" s="439" t="s">
        <v>832</v>
      </c>
      <c r="B27" s="439"/>
      <c r="C27" s="439"/>
      <c r="D27" s="439"/>
      <c r="E27" s="439"/>
      <c r="F27" s="439"/>
      <c r="G27" s="439"/>
      <c r="H27" s="439"/>
      <c r="I27" s="439"/>
      <c r="J27" s="439"/>
    </row>
    <row r="28" spans="1:12" ht="30" customHeight="1" x14ac:dyDescent="0.25">
      <c r="A28" s="45" t="s">
        <v>812</v>
      </c>
      <c r="B28" s="52" t="s">
        <v>872</v>
      </c>
      <c r="C28" s="45" t="s">
        <v>575</v>
      </c>
      <c r="D28" s="45" t="s">
        <v>873</v>
      </c>
      <c r="E28" s="45" t="s">
        <v>874</v>
      </c>
      <c r="F28" s="45" t="s">
        <v>889</v>
      </c>
      <c r="G28" s="45" t="s">
        <v>890</v>
      </c>
      <c r="H28" s="45" t="s">
        <v>891</v>
      </c>
      <c r="I28" s="52" t="s">
        <v>877</v>
      </c>
      <c r="J28" s="45" t="s">
        <v>816</v>
      </c>
      <c r="K28" s="52" t="s">
        <v>878</v>
      </c>
      <c r="L28" s="52" t="s">
        <v>879</v>
      </c>
    </row>
    <row r="29" spans="1:12" ht="15" customHeight="1" x14ac:dyDescent="0.25">
      <c r="A29" s="43" t="s">
        <v>819</v>
      </c>
      <c r="B29" s="311">
        <f>ROUND(TANH(K29*Calibration!$C$26),4)</f>
        <v>0.24729999999999999</v>
      </c>
      <c r="C29" s="57">
        <v>4</v>
      </c>
      <c r="D29" s="312">
        <v>20</v>
      </c>
      <c r="E29" s="61">
        <f t="shared" ref="E29:E36" si="6">MIN(10,MAX(1,2*LN(D29+1)))</f>
        <v>6.089044875446846</v>
      </c>
      <c r="F29" s="62">
        <v>0.15</v>
      </c>
      <c r="G29" s="214">
        <f t="shared" ref="G29:G36" si="7">D29*(1-F29)</f>
        <v>17</v>
      </c>
      <c r="H29" s="61">
        <f t="shared" ref="H29:H36" si="8">MIN(10,MAX(1,2*LN(G29+1)))</f>
        <v>5.780743515792329</v>
      </c>
      <c r="I29" s="311">
        <f>TANH(H29/10)*(CORE!$B$14-B29)</f>
        <v>0.39235572887688419</v>
      </c>
      <c r="J29" s="217" t="str">
        <f>IF(ABS(I29)+ABS(B29)&lt;=CORE!$B$14,"VALID","VIOLATION")</f>
        <v>VALID</v>
      </c>
      <c r="K29" s="313">
        <v>0.125</v>
      </c>
      <c r="L29" s="314" t="s">
        <v>880</v>
      </c>
    </row>
    <row r="30" spans="1:12" ht="15" customHeight="1" x14ac:dyDescent="0.25">
      <c r="A30" s="43" t="s">
        <v>821</v>
      </c>
      <c r="B30" s="311">
        <f>ROUND(TANH(K30*Calibration!$C$26),4)</f>
        <v>0.46600000000000003</v>
      </c>
      <c r="C30" s="57">
        <v>6</v>
      </c>
      <c r="D30" s="312">
        <v>40</v>
      </c>
      <c r="E30" s="61">
        <f t="shared" si="6"/>
        <v>7.4271441334086159</v>
      </c>
      <c r="F30" s="62">
        <v>0.35</v>
      </c>
      <c r="G30" s="214">
        <f t="shared" si="7"/>
        <v>26</v>
      </c>
      <c r="H30" s="61">
        <f t="shared" si="8"/>
        <v>6.5916737320086582</v>
      </c>
      <c r="I30" s="311">
        <f>TANH(H30/10)*(CORE!$B$14-B30)</f>
        <v>0.30855002554444366</v>
      </c>
      <c r="J30" s="217" t="str">
        <f>IF(ABS(I30)+ABS(B30)&lt;=CORE!$B$14,"VALID","VIOLATION")</f>
        <v>VALID</v>
      </c>
      <c r="K30" s="313">
        <v>0.25</v>
      </c>
      <c r="L30" s="314" t="s">
        <v>881</v>
      </c>
    </row>
    <row r="31" spans="1:12" ht="15" customHeight="1" x14ac:dyDescent="0.25">
      <c r="A31" s="43" t="s">
        <v>822</v>
      </c>
      <c r="B31" s="311">
        <f>ROUND(TANH(K31*Calibration!$C$26),4)</f>
        <v>0.63959999999999995</v>
      </c>
      <c r="C31" s="57">
        <v>7</v>
      </c>
      <c r="D31" s="312">
        <v>65</v>
      </c>
      <c r="E31" s="61">
        <f t="shared" si="6"/>
        <v>8.3793094840528504</v>
      </c>
      <c r="F31" s="62">
        <v>0.55000000000000004</v>
      </c>
      <c r="G31" s="214">
        <f t="shared" si="7"/>
        <v>29.249999999999996</v>
      </c>
      <c r="H31" s="61">
        <f t="shared" si="8"/>
        <v>6.8189923689537011</v>
      </c>
      <c r="I31" s="311">
        <f>TANH(H31/10)*(CORE!$B$14-B31)</f>
        <v>0.21362807719907656</v>
      </c>
      <c r="J31" s="217" t="str">
        <f>IF(ABS(I31)+ABS(B31)&lt;=CORE!$B$14,"VALID","VIOLATION")</f>
        <v>VALID</v>
      </c>
      <c r="K31" s="313">
        <v>0.375</v>
      </c>
      <c r="L31" s="314" t="s">
        <v>882</v>
      </c>
    </row>
    <row r="32" spans="1:12" ht="15" customHeight="1" x14ac:dyDescent="0.25">
      <c r="A32" s="43" t="s">
        <v>823</v>
      </c>
      <c r="B32" s="311">
        <f>ROUND(TANH(K32*Calibration!$C$26),4)</f>
        <v>0.76580000000000004</v>
      </c>
      <c r="C32" s="57">
        <v>8</v>
      </c>
      <c r="D32" s="312">
        <v>80</v>
      </c>
      <c r="E32" s="61">
        <f t="shared" si="6"/>
        <v>8.7888983093448783</v>
      </c>
      <c r="F32" s="62">
        <v>0.7</v>
      </c>
      <c r="G32" s="214">
        <f t="shared" si="7"/>
        <v>24.000000000000004</v>
      </c>
      <c r="H32" s="61">
        <f t="shared" si="8"/>
        <v>6.437751649736402</v>
      </c>
      <c r="I32" s="311">
        <f>TANH(H32/10)*(CORE!$B$14-B32)</f>
        <v>0.13290019456586</v>
      </c>
      <c r="J32" s="217" t="str">
        <f>IF(ABS(I32)+ABS(B32)&lt;=CORE!$B$14,"VALID","VIOLATION")</f>
        <v>VALID</v>
      </c>
      <c r="K32" s="313">
        <v>0.5</v>
      </c>
      <c r="L32" s="314" t="s">
        <v>883</v>
      </c>
    </row>
    <row r="33" spans="1:12" ht="15" customHeight="1" x14ac:dyDescent="0.25">
      <c r="A33" s="43" t="s">
        <v>824</v>
      </c>
      <c r="B33" s="311">
        <f>ROUND(TANH(K33*Calibration!$C$26),4)</f>
        <v>0.8518</v>
      </c>
      <c r="C33" s="57">
        <v>7</v>
      </c>
      <c r="D33" s="312">
        <v>70</v>
      </c>
      <c r="E33" s="61">
        <f t="shared" si="6"/>
        <v>8.5253597540826309</v>
      </c>
      <c r="F33" s="62">
        <v>0.8</v>
      </c>
      <c r="G33" s="214">
        <f t="shared" si="7"/>
        <v>13.999999999999996</v>
      </c>
      <c r="H33" s="61">
        <f t="shared" si="8"/>
        <v>5.4161004022044192</v>
      </c>
      <c r="I33" s="311">
        <f>TANH(H33/10)*(CORE!$B$14-B33)</f>
        <v>7.3241290623111799E-2</v>
      </c>
      <c r="J33" s="217" t="str">
        <f>IF(ABS(I33)+ABS(B33)&lt;=CORE!$B$14,"VALID","VIOLATION")</f>
        <v>VALID</v>
      </c>
      <c r="K33" s="313">
        <v>0.625</v>
      </c>
      <c r="L33" s="314" t="s">
        <v>884</v>
      </c>
    </row>
    <row r="34" spans="1:12" ht="15" customHeight="1" x14ac:dyDescent="0.25">
      <c r="A34" s="43" t="s">
        <v>825</v>
      </c>
      <c r="B34" s="311">
        <f>ROUND(TANH(K34*Calibration!$C$26),4)</f>
        <v>0.90780000000000005</v>
      </c>
      <c r="C34" s="57">
        <v>5</v>
      </c>
      <c r="D34" s="312">
        <v>50</v>
      </c>
      <c r="E34" s="61">
        <f t="shared" si="6"/>
        <v>7.8636512654486515</v>
      </c>
      <c r="F34" s="62">
        <v>0.85</v>
      </c>
      <c r="G34" s="214">
        <f t="shared" si="7"/>
        <v>7.5000000000000009</v>
      </c>
      <c r="H34" s="61">
        <f t="shared" si="8"/>
        <v>4.2801323269925415</v>
      </c>
      <c r="I34" s="311">
        <f>TANH(H34/10)*(CORE!$B$14-B34)</f>
        <v>3.7217415325175585E-2</v>
      </c>
      <c r="J34" s="217" t="str">
        <f>IF(ABS(I34)+ABS(B34)&lt;=CORE!$B$14,"VALID","VIOLATION")</f>
        <v>VALID</v>
      </c>
      <c r="K34" s="313">
        <v>0.75</v>
      </c>
      <c r="L34" s="314" t="s">
        <v>885</v>
      </c>
    </row>
    <row r="35" spans="1:12" ht="15" customHeight="1" x14ac:dyDescent="0.25">
      <c r="A35" s="43" t="s">
        <v>826</v>
      </c>
      <c r="B35" s="311">
        <f>ROUND(TANH(K35*Calibration!$C$26),4)</f>
        <v>0.94330000000000003</v>
      </c>
      <c r="C35" s="57">
        <v>4</v>
      </c>
      <c r="D35" s="312">
        <v>35</v>
      </c>
      <c r="E35" s="61">
        <f t="shared" si="6"/>
        <v>7.1670378769122198</v>
      </c>
      <c r="F35" s="62">
        <v>0.9</v>
      </c>
      <c r="G35" s="214">
        <f t="shared" si="7"/>
        <v>3.4999999999999991</v>
      </c>
      <c r="H35" s="61">
        <f t="shared" si="8"/>
        <v>3.0081547935525479</v>
      </c>
      <c r="I35" s="311">
        <f>TANH(H35/10)*(CORE!$B$14-B35)</f>
        <v>1.6559728876460626E-2</v>
      </c>
      <c r="J35" s="217" t="str">
        <f>IF(ABS(I35)+ABS(B35)&lt;=CORE!$B$14,"VALID","VIOLATION")</f>
        <v>VALID</v>
      </c>
      <c r="K35" s="313">
        <v>0.875</v>
      </c>
      <c r="L35" s="314" t="s">
        <v>886</v>
      </c>
    </row>
    <row r="36" spans="1:12" ht="15" customHeight="1" x14ac:dyDescent="0.25">
      <c r="A36" s="43" t="s">
        <v>827</v>
      </c>
      <c r="B36" s="311">
        <f>ROUND(TANH(K36*Calibration!$C$26),4)</f>
        <v>0.96540000000000004</v>
      </c>
      <c r="C36" s="57">
        <v>3</v>
      </c>
      <c r="D36" s="312">
        <v>25</v>
      </c>
      <c r="E36" s="61">
        <f t="shared" si="6"/>
        <v>6.5161930760429643</v>
      </c>
      <c r="F36" s="62">
        <v>0.92</v>
      </c>
      <c r="G36" s="214">
        <f t="shared" si="7"/>
        <v>1.9999999999999991</v>
      </c>
      <c r="H36" s="61">
        <f t="shared" si="8"/>
        <v>2.1972245773362187</v>
      </c>
      <c r="I36" s="311">
        <f>TANH(H36/10)*(CORE!$B$14-B36)</f>
        <v>7.4823716029866344E-3</v>
      </c>
      <c r="J36" s="217" t="str">
        <f>IF(ABS(I36)+ABS(B36)&lt;=CORE!$B$14,"VALID","VIOLATION")</f>
        <v>VALID</v>
      </c>
      <c r="K36" s="313">
        <v>1</v>
      </c>
      <c r="L36" s="314" t="s">
        <v>887</v>
      </c>
    </row>
  </sheetData>
  <mergeCells count="4">
    <mergeCell ref="A1:J1"/>
    <mergeCell ref="A3:J3"/>
    <mergeCell ref="A15:J15"/>
    <mergeCell ref="A27:J27"/>
  </mergeCells>
  <pageMargins left="0.75" right="0.75" top="1" bottom="1" header="0.511811023622047" footer="0.511811023622047"/>
  <pageSetup fitToHeight="0" orientation="landscape"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2E8B57"/>
    <pageSetUpPr fitToPage="1"/>
  </sheetPr>
  <dimension ref="A1:L36"/>
  <sheetViews>
    <sheetView zoomScaleNormal="100" workbookViewId="0">
      <selection sqref="A1:J1"/>
    </sheetView>
  </sheetViews>
  <sheetFormatPr defaultColWidth="8.7109375" defaultRowHeight="15" x14ac:dyDescent="0.25"/>
  <cols>
    <col min="1" max="10" width="14" customWidth="1"/>
    <col min="11" max="11" width="8" customWidth="1"/>
    <col min="12" max="12" width="22" customWidth="1"/>
  </cols>
  <sheetData>
    <row r="1" spans="1:12" ht="17.25" customHeight="1" x14ac:dyDescent="0.25">
      <c r="A1" s="403" t="s">
        <v>892</v>
      </c>
      <c r="B1" s="403"/>
      <c r="C1" s="403"/>
      <c r="D1" s="403"/>
      <c r="E1" s="403"/>
      <c r="F1" s="403"/>
      <c r="G1" s="403"/>
      <c r="H1" s="403"/>
      <c r="I1" s="403"/>
      <c r="J1" s="403"/>
    </row>
    <row r="3" spans="1:12" ht="15" customHeight="1" x14ac:dyDescent="0.25">
      <c r="A3" s="439" t="s">
        <v>833</v>
      </c>
      <c r="B3" s="439"/>
      <c r="C3" s="439"/>
      <c r="D3" s="439"/>
      <c r="E3" s="439"/>
      <c r="F3" s="439"/>
      <c r="G3" s="439"/>
      <c r="H3" s="439"/>
      <c r="I3" s="439"/>
      <c r="J3" s="439"/>
    </row>
    <row r="4" spans="1:12" ht="30" customHeight="1" x14ac:dyDescent="0.25">
      <c r="A4" s="45" t="s">
        <v>812</v>
      </c>
      <c r="B4" s="52" t="s">
        <v>872</v>
      </c>
      <c r="C4" s="45" t="s">
        <v>525</v>
      </c>
      <c r="D4" s="45" t="s">
        <v>602</v>
      </c>
      <c r="E4" s="45" t="s">
        <v>893</v>
      </c>
      <c r="F4" s="45" t="s">
        <v>605</v>
      </c>
      <c r="G4" s="45" t="s">
        <v>894</v>
      </c>
      <c r="H4" s="45" t="s">
        <v>608</v>
      </c>
      <c r="I4" s="52" t="s">
        <v>877</v>
      </c>
      <c r="J4" s="45" t="s">
        <v>816</v>
      </c>
      <c r="K4" s="52" t="s">
        <v>878</v>
      </c>
      <c r="L4" s="52" t="s">
        <v>879</v>
      </c>
    </row>
    <row r="5" spans="1:12" ht="15" customHeight="1" x14ac:dyDescent="0.25">
      <c r="A5" s="43" t="s">
        <v>819</v>
      </c>
      <c r="B5" s="311">
        <f>ROUND(TANH(K5*Calibration!$C$26),4)</f>
        <v>0.24729999999999999</v>
      </c>
      <c r="C5" s="62">
        <v>0.3</v>
      </c>
      <c r="D5" s="312">
        <v>100</v>
      </c>
      <c r="E5" s="61">
        <f t="shared" ref="E5:E12" si="0">MIN(10,MAX(1,2*LN(D5+1)))</f>
        <v>9.2302410336825194</v>
      </c>
      <c r="F5" s="315">
        <v>12</v>
      </c>
      <c r="G5" s="76">
        <f t="shared" ref="G5:G12" si="1">1/(1+F5/12)</f>
        <v>0.5</v>
      </c>
      <c r="H5" s="215">
        <f>MIN(1,C5*G5*(CORE!$D$44/10))</f>
        <v>9.7124999999999989E-2</v>
      </c>
      <c r="I5" s="311">
        <f>-TANH(H5)*(CORE!$B$14-B5)</f>
        <v>-7.2876975527218918E-2</v>
      </c>
      <c r="J5" s="217" t="str">
        <f>IF(ABS(I5)+ABS(B5)&lt;=CORE!$B$14,"VALID","VIOLATION")</f>
        <v>VALID</v>
      </c>
      <c r="K5" s="313">
        <v>0.125</v>
      </c>
      <c r="L5" s="314" t="s">
        <v>880</v>
      </c>
    </row>
    <row r="6" spans="1:12" ht="15" customHeight="1" x14ac:dyDescent="0.25">
      <c r="A6" s="43" t="s">
        <v>821</v>
      </c>
      <c r="B6" s="311">
        <f>ROUND(TANH(K6*Calibration!$C$26),4)</f>
        <v>0.46600000000000003</v>
      </c>
      <c r="C6" s="62">
        <v>0.4</v>
      </c>
      <c r="D6" s="312">
        <v>150</v>
      </c>
      <c r="E6" s="61">
        <f t="shared" si="0"/>
        <v>10</v>
      </c>
      <c r="F6" s="315">
        <v>10.5</v>
      </c>
      <c r="G6" s="76">
        <f t="shared" si="1"/>
        <v>0.53333333333333333</v>
      </c>
      <c r="H6" s="215">
        <f>MIN(1,C6*G6*(CORE!$D$44/10))</f>
        <v>0.13813333333333333</v>
      </c>
      <c r="I6" s="311">
        <f>-TANH(H6)*(CORE!$B$14-B6)</f>
        <v>-7.3297599235424699E-2</v>
      </c>
      <c r="J6" s="217" t="str">
        <f>IF(ABS(I6)+ABS(B6)&lt;=CORE!$B$14,"VALID","VIOLATION")</f>
        <v>VALID</v>
      </c>
      <c r="K6" s="313">
        <v>0.25</v>
      </c>
      <c r="L6" s="314" t="s">
        <v>881</v>
      </c>
    </row>
    <row r="7" spans="1:12" ht="15" customHeight="1" x14ac:dyDescent="0.25">
      <c r="A7" s="43" t="s">
        <v>822</v>
      </c>
      <c r="B7" s="311">
        <f>ROUND(TANH(K7*Calibration!$C$26),4)</f>
        <v>0.63959999999999995</v>
      </c>
      <c r="C7" s="62">
        <v>0.5</v>
      </c>
      <c r="D7" s="312">
        <v>200</v>
      </c>
      <c r="E7" s="61">
        <f t="shared" si="0"/>
        <v>10</v>
      </c>
      <c r="F7" s="315">
        <v>9</v>
      </c>
      <c r="G7" s="76">
        <f t="shared" si="1"/>
        <v>0.5714285714285714</v>
      </c>
      <c r="H7" s="215">
        <f>MIN(1,C7*G7*(CORE!$D$44/10))</f>
        <v>0.18499999999999997</v>
      </c>
      <c r="I7" s="311">
        <f>-TANH(H7)*(CORE!$B$14-B7)</f>
        <v>-6.5923631654347878E-2</v>
      </c>
      <c r="J7" s="217" t="str">
        <f>IF(ABS(I7)+ABS(B7)&lt;=CORE!$B$14,"VALID","VIOLATION")</f>
        <v>VALID</v>
      </c>
      <c r="K7" s="313">
        <v>0.375</v>
      </c>
      <c r="L7" s="314" t="s">
        <v>882</v>
      </c>
    </row>
    <row r="8" spans="1:12" ht="15" customHeight="1" x14ac:dyDescent="0.25">
      <c r="A8" s="43" t="s">
        <v>823</v>
      </c>
      <c r="B8" s="311">
        <f>ROUND(TANH(K8*Calibration!$C$26),4)</f>
        <v>0.76580000000000004</v>
      </c>
      <c r="C8" s="62">
        <v>0.6</v>
      </c>
      <c r="D8" s="312">
        <v>250</v>
      </c>
      <c r="E8" s="61">
        <f t="shared" si="0"/>
        <v>10</v>
      </c>
      <c r="F8" s="315">
        <v>7.5</v>
      </c>
      <c r="G8" s="76">
        <f t="shared" si="1"/>
        <v>0.61538461538461542</v>
      </c>
      <c r="H8" s="215">
        <f>MIN(1,C8*G8*(CORE!$D$44/10))</f>
        <v>0.23907692307692308</v>
      </c>
      <c r="I8" s="311">
        <f>-TANH(H8)*(CORE!$B$14-B8)</f>
        <v>-5.4948864806790329E-2</v>
      </c>
      <c r="J8" s="217" t="str">
        <f>IF(ABS(I8)+ABS(B8)&lt;=CORE!$B$14,"VALID","VIOLATION")</f>
        <v>VALID</v>
      </c>
      <c r="K8" s="313">
        <v>0.5</v>
      </c>
      <c r="L8" s="314" t="s">
        <v>883</v>
      </c>
    </row>
    <row r="9" spans="1:12" ht="15" customHeight="1" x14ac:dyDescent="0.25">
      <c r="A9" s="43" t="s">
        <v>824</v>
      </c>
      <c r="B9" s="311">
        <f>ROUND(TANH(K9*Calibration!$C$26),4)</f>
        <v>0.8518</v>
      </c>
      <c r="C9" s="62">
        <v>0.65</v>
      </c>
      <c r="D9" s="312">
        <v>280</v>
      </c>
      <c r="E9" s="61">
        <f t="shared" si="0"/>
        <v>10</v>
      </c>
      <c r="F9" s="315">
        <v>6</v>
      </c>
      <c r="G9" s="76">
        <f t="shared" si="1"/>
        <v>0.66666666666666663</v>
      </c>
      <c r="H9" s="215">
        <f>MIN(1,C9*G9*(CORE!$D$44/10))</f>
        <v>0.28058333333333335</v>
      </c>
      <c r="I9" s="311">
        <f>-TANH(H9)*(CORE!$B$14-B9)</f>
        <v>-4.052453164254826E-2</v>
      </c>
      <c r="J9" s="217" t="str">
        <f>IF(ABS(I9)+ABS(B9)&lt;=CORE!$B$14,"VALID","VIOLATION")</f>
        <v>VALID</v>
      </c>
      <c r="K9" s="313">
        <v>0.625</v>
      </c>
      <c r="L9" s="314" t="s">
        <v>884</v>
      </c>
    </row>
    <row r="10" spans="1:12" ht="15" customHeight="1" x14ac:dyDescent="0.25">
      <c r="A10" s="43" t="s">
        <v>825</v>
      </c>
      <c r="B10" s="311">
        <f>ROUND(TANH(K10*Calibration!$C$26),4)</f>
        <v>0.90780000000000005</v>
      </c>
      <c r="C10" s="62">
        <v>0.62</v>
      </c>
      <c r="D10" s="312">
        <v>260</v>
      </c>
      <c r="E10" s="61">
        <f t="shared" si="0"/>
        <v>10</v>
      </c>
      <c r="F10" s="315">
        <v>4.5</v>
      </c>
      <c r="G10" s="76">
        <f t="shared" si="1"/>
        <v>0.72727272727272729</v>
      </c>
      <c r="H10" s="215">
        <f>MIN(1,C10*G10*(CORE!$D$44/10))</f>
        <v>0.29196363636363637</v>
      </c>
      <c r="I10" s="311">
        <f>-TANH(H10)*(CORE!$B$14-B10)</f>
        <v>-2.6179373147643969E-2</v>
      </c>
      <c r="J10" s="217" t="str">
        <f>IF(ABS(I10)+ABS(B10)&lt;=CORE!$B$14,"VALID","VIOLATION")</f>
        <v>VALID</v>
      </c>
      <c r="K10" s="313">
        <v>0.75</v>
      </c>
      <c r="L10" s="314" t="s">
        <v>885</v>
      </c>
    </row>
    <row r="11" spans="1:12" ht="15" customHeight="1" x14ac:dyDescent="0.25">
      <c r="A11" s="43" t="s">
        <v>826</v>
      </c>
      <c r="B11" s="311">
        <f>ROUND(TANH(K11*Calibration!$C$26),4)</f>
        <v>0.94330000000000003</v>
      </c>
      <c r="C11" s="62">
        <v>0.55000000000000004</v>
      </c>
      <c r="D11" s="312">
        <v>220</v>
      </c>
      <c r="E11" s="61">
        <f t="shared" si="0"/>
        <v>10</v>
      </c>
      <c r="F11" s="315">
        <v>3</v>
      </c>
      <c r="G11" s="76">
        <f t="shared" si="1"/>
        <v>0.8</v>
      </c>
      <c r="H11" s="215">
        <f>MIN(1,C11*G11*(CORE!$D$44/10))</f>
        <v>0.28490000000000004</v>
      </c>
      <c r="I11" s="311">
        <f>-TANH(H11)*(CORE!$B$14-B11)</f>
        <v>-1.573051062501632E-2</v>
      </c>
      <c r="J11" s="217" t="str">
        <f>IF(ABS(I11)+ABS(B11)&lt;=CORE!$B$14,"VALID","VIOLATION")</f>
        <v>VALID</v>
      </c>
      <c r="K11" s="313">
        <v>0.875</v>
      </c>
      <c r="L11" s="314" t="s">
        <v>886</v>
      </c>
    </row>
    <row r="12" spans="1:12" ht="15" customHeight="1" x14ac:dyDescent="0.25">
      <c r="A12" s="43" t="s">
        <v>827</v>
      </c>
      <c r="B12" s="311">
        <f>ROUND(TANH(K12*Calibration!$C$26),4)</f>
        <v>0.96540000000000004</v>
      </c>
      <c r="C12" s="62">
        <v>0.48</v>
      </c>
      <c r="D12" s="312">
        <v>180</v>
      </c>
      <c r="E12" s="61">
        <f t="shared" si="0"/>
        <v>10</v>
      </c>
      <c r="F12" s="315">
        <v>1.5</v>
      </c>
      <c r="G12" s="76">
        <f t="shared" si="1"/>
        <v>0.88888888888888884</v>
      </c>
      <c r="H12" s="215">
        <f>MIN(1,C12*G12*(CORE!$D$44/10))</f>
        <v>0.27626666666666666</v>
      </c>
      <c r="I12" s="311">
        <f>-TANH(H12)*(CORE!$B$14-B12)</f>
        <v>-9.3228415465553254E-3</v>
      </c>
      <c r="J12" s="217" t="str">
        <f>IF(ABS(I12)+ABS(B12)&lt;=CORE!$B$14,"VALID","VIOLATION")</f>
        <v>VALID</v>
      </c>
      <c r="K12" s="313">
        <v>1</v>
      </c>
      <c r="L12" s="314" t="s">
        <v>887</v>
      </c>
    </row>
    <row r="15" spans="1:12" ht="15" customHeight="1" x14ac:dyDescent="0.25">
      <c r="A15" s="439" t="s">
        <v>835</v>
      </c>
      <c r="B15" s="439"/>
      <c r="C15" s="439"/>
      <c r="D15" s="439"/>
      <c r="E15" s="439"/>
      <c r="F15" s="439"/>
      <c r="G15" s="439"/>
      <c r="H15" s="439"/>
      <c r="I15" s="439"/>
      <c r="J15" s="439"/>
    </row>
    <row r="16" spans="1:12" ht="30" customHeight="1" x14ac:dyDescent="0.25">
      <c r="A16" s="45" t="s">
        <v>812</v>
      </c>
      <c r="B16" s="52" t="s">
        <v>872</v>
      </c>
      <c r="C16" s="45" t="s">
        <v>525</v>
      </c>
      <c r="D16" s="45" t="s">
        <v>602</v>
      </c>
      <c r="E16" s="45" t="s">
        <v>893</v>
      </c>
      <c r="F16" s="45" t="s">
        <v>605</v>
      </c>
      <c r="G16" s="45" t="s">
        <v>894</v>
      </c>
      <c r="H16" s="45" t="s">
        <v>608</v>
      </c>
      <c r="I16" s="52" t="s">
        <v>877</v>
      </c>
      <c r="J16" s="45" t="s">
        <v>816</v>
      </c>
      <c r="K16" s="52" t="s">
        <v>878</v>
      </c>
      <c r="L16" s="52" t="s">
        <v>879</v>
      </c>
    </row>
    <row r="17" spans="1:12" ht="15" customHeight="1" x14ac:dyDescent="0.25">
      <c r="A17" s="43" t="s">
        <v>819</v>
      </c>
      <c r="B17" s="311">
        <f>ROUND(TANH(K17*Calibration!$C$26),4)</f>
        <v>0.24729999999999999</v>
      </c>
      <c r="C17" s="62">
        <v>0.2</v>
      </c>
      <c r="D17" s="312">
        <v>150</v>
      </c>
      <c r="E17" s="61">
        <f t="shared" ref="E17:E24" si="2">MIN(10,MAX(1,2*LN(D17+1)))</f>
        <v>10</v>
      </c>
      <c r="F17" s="315">
        <v>18</v>
      </c>
      <c r="G17" s="76">
        <f t="shared" ref="G17:G24" si="3">1/(1+F17/12)</f>
        <v>0.4</v>
      </c>
      <c r="H17" s="215">
        <f>MIN(1,C17*G17*(CORE!$D$44/10))</f>
        <v>5.1800000000000006E-2</v>
      </c>
      <c r="I17" s="311">
        <f>-TANH(H17)*(CORE!$B$14-B17)</f>
        <v>-3.8955024337850377E-2</v>
      </c>
      <c r="J17" s="217" t="str">
        <f>IF(ABS(I17)+ABS(B17)&lt;=CORE!$B$14,"VALID","VIOLATION")</f>
        <v>VALID</v>
      </c>
      <c r="K17" s="313">
        <v>0.125</v>
      </c>
      <c r="L17" s="314" t="s">
        <v>880</v>
      </c>
    </row>
    <row r="18" spans="1:12" ht="15" customHeight="1" x14ac:dyDescent="0.25">
      <c r="A18" s="43" t="s">
        <v>821</v>
      </c>
      <c r="B18" s="311">
        <f>ROUND(TANH(K18*Calibration!$C$26),4)</f>
        <v>0.46600000000000003</v>
      </c>
      <c r="C18" s="62">
        <v>0.28000000000000003</v>
      </c>
      <c r="D18" s="312">
        <v>220</v>
      </c>
      <c r="E18" s="61">
        <f t="shared" si="2"/>
        <v>10</v>
      </c>
      <c r="F18" s="315">
        <v>16</v>
      </c>
      <c r="G18" s="76">
        <f t="shared" si="3"/>
        <v>0.4285714285714286</v>
      </c>
      <c r="H18" s="215">
        <f>MIN(1,C18*G18*(CORE!$D$44/10))</f>
        <v>7.7700000000000005E-2</v>
      </c>
      <c r="I18" s="311">
        <f>-TANH(H18)*(CORE!$B$14-B18)</f>
        <v>-4.1408501809277992E-2</v>
      </c>
      <c r="J18" s="217" t="str">
        <f>IF(ABS(I18)+ABS(B18)&lt;=CORE!$B$14,"VALID","VIOLATION")</f>
        <v>VALID</v>
      </c>
      <c r="K18" s="313">
        <v>0.25</v>
      </c>
      <c r="L18" s="314" t="s">
        <v>881</v>
      </c>
    </row>
    <row r="19" spans="1:12" ht="15" customHeight="1" x14ac:dyDescent="0.25">
      <c r="A19" s="43" t="s">
        <v>822</v>
      </c>
      <c r="B19" s="311">
        <f>ROUND(TANH(K19*Calibration!$C$26),4)</f>
        <v>0.63959999999999995</v>
      </c>
      <c r="C19" s="62">
        <v>0.35</v>
      </c>
      <c r="D19" s="312">
        <v>300</v>
      </c>
      <c r="E19" s="61">
        <f t="shared" si="2"/>
        <v>10</v>
      </c>
      <c r="F19" s="315">
        <v>14</v>
      </c>
      <c r="G19" s="76">
        <f t="shared" si="3"/>
        <v>0.46153846153846145</v>
      </c>
      <c r="H19" s="215">
        <f>MIN(1,C19*G19*(CORE!$D$44/10))</f>
        <v>0.10459615384615381</v>
      </c>
      <c r="I19" s="311">
        <f>-TANH(H19)*(CORE!$B$14-B19)</f>
        <v>-3.7559581918519352E-2</v>
      </c>
      <c r="J19" s="217" t="str">
        <f>IF(ABS(I19)+ABS(B19)&lt;=CORE!$B$14,"VALID","VIOLATION")</f>
        <v>VALID</v>
      </c>
      <c r="K19" s="313">
        <v>0.375</v>
      </c>
      <c r="L19" s="314" t="s">
        <v>882</v>
      </c>
    </row>
    <row r="20" spans="1:12" ht="15" customHeight="1" x14ac:dyDescent="0.25">
      <c r="A20" s="43" t="s">
        <v>823</v>
      </c>
      <c r="B20" s="311">
        <f>ROUND(TANH(K20*Calibration!$C$26),4)</f>
        <v>0.76580000000000004</v>
      </c>
      <c r="C20" s="62">
        <v>0.4</v>
      </c>
      <c r="D20" s="312">
        <v>380</v>
      </c>
      <c r="E20" s="61">
        <f t="shared" si="2"/>
        <v>10</v>
      </c>
      <c r="F20" s="315">
        <v>12</v>
      </c>
      <c r="G20" s="76">
        <f t="shared" si="3"/>
        <v>0.5</v>
      </c>
      <c r="H20" s="215">
        <f>MIN(1,C20*G20*(CORE!$D$44/10))</f>
        <v>0.1295</v>
      </c>
      <c r="I20" s="311">
        <f>-TANH(H20)*(CORE!$B$14-B20)</f>
        <v>-3.0160488552273729E-2</v>
      </c>
      <c r="J20" s="217" t="str">
        <f>IF(ABS(I20)+ABS(B20)&lt;=CORE!$B$14,"VALID","VIOLATION")</f>
        <v>VALID</v>
      </c>
      <c r="K20" s="313">
        <v>0.5</v>
      </c>
      <c r="L20" s="314" t="s">
        <v>883</v>
      </c>
    </row>
    <row r="21" spans="1:12" ht="15" customHeight="1" x14ac:dyDescent="0.25">
      <c r="A21" s="43" t="s">
        <v>824</v>
      </c>
      <c r="B21" s="311">
        <f>ROUND(TANH(K21*Calibration!$C$26),4)</f>
        <v>0.8518</v>
      </c>
      <c r="C21" s="62">
        <v>0.45</v>
      </c>
      <c r="D21" s="312">
        <v>400</v>
      </c>
      <c r="E21" s="61">
        <f t="shared" si="2"/>
        <v>10</v>
      </c>
      <c r="F21" s="315">
        <v>10</v>
      </c>
      <c r="G21" s="76">
        <f t="shared" si="3"/>
        <v>0.54545454545454541</v>
      </c>
      <c r="H21" s="215">
        <f>MIN(1,C21*G21*(CORE!$D$44/10))</f>
        <v>0.15893181818181817</v>
      </c>
      <c r="I21" s="311">
        <f>-TANH(H21)*(CORE!$B$14-B21)</f>
        <v>-2.3357362115968203E-2</v>
      </c>
      <c r="J21" s="217" t="str">
        <f>IF(ABS(I21)+ABS(B21)&lt;=CORE!$B$14,"VALID","VIOLATION")</f>
        <v>VALID</v>
      </c>
      <c r="K21" s="313">
        <v>0.625</v>
      </c>
      <c r="L21" s="314" t="s">
        <v>884</v>
      </c>
    </row>
    <row r="22" spans="1:12" ht="15" customHeight="1" x14ac:dyDescent="0.25">
      <c r="A22" s="43" t="s">
        <v>825</v>
      </c>
      <c r="B22" s="311">
        <f>ROUND(TANH(K22*Calibration!$C$26),4)</f>
        <v>0.90780000000000005</v>
      </c>
      <c r="C22" s="62">
        <v>0.5</v>
      </c>
      <c r="D22" s="312">
        <v>420</v>
      </c>
      <c r="E22" s="61">
        <f t="shared" si="2"/>
        <v>10</v>
      </c>
      <c r="F22" s="315">
        <v>8</v>
      </c>
      <c r="G22" s="76">
        <f t="shared" si="3"/>
        <v>0.60000000000000009</v>
      </c>
      <c r="H22" s="215">
        <f>MIN(1,C22*G22*(CORE!$D$44/10))</f>
        <v>0.19425000000000001</v>
      </c>
      <c r="I22" s="311">
        <f>-TANH(H22)*(CORE!$B$14-B22)</f>
        <v>-1.7687934325907134E-2</v>
      </c>
      <c r="J22" s="217" t="str">
        <f>IF(ABS(I22)+ABS(B22)&lt;=CORE!$B$14,"VALID","VIOLATION")</f>
        <v>VALID</v>
      </c>
      <c r="K22" s="313">
        <v>0.75</v>
      </c>
      <c r="L22" s="314" t="s">
        <v>885</v>
      </c>
    </row>
    <row r="23" spans="1:12" ht="15" customHeight="1" x14ac:dyDescent="0.25">
      <c r="A23" s="43" t="s">
        <v>826</v>
      </c>
      <c r="B23" s="311">
        <f>ROUND(TANH(K23*Calibration!$C$26),4)</f>
        <v>0.94330000000000003</v>
      </c>
      <c r="C23" s="62">
        <v>0.48</v>
      </c>
      <c r="D23" s="312">
        <v>390</v>
      </c>
      <c r="E23" s="61">
        <f t="shared" si="2"/>
        <v>10</v>
      </c>
      <c r="F23" s="315">
        <v>6</v>
      </c>
      <c r="G23" s="76">
        <f t="shared" si="3"/>
        <v>0.66666666666666663</v>
      </c>
      <c r="H23" s="215">
        <f>MIN(1,C23*G23*(CORE!$D$44/10))</f>
        <v>0.20719999999999997</v>
      </c>
      <c r="I23" s="311">
        <f>-TANH(H23)*(CORE!$B$14-B23)</f>
        <v>-1.1582953325267318E-2</v>
      </c>
      <c r="J23" s="217" t="str">
        <f>IF(ABS(I23)+ABS(B23)&lt;=CORE!$B$14,"VALID","VIOLATION")</f>
        <v>VALID</v>
      </c>
      <c r="K23" s="313">
        <v>0.875</v>
      </c>
      <c r="L23" s="314" t="s">
        <v>886</v>
      </c>
    </row>
    <row r="24" spans="1:12" ht="15" customHeight="1" x14ac:dyDescent="0.25">
      <c r="A24" s="43" t="s">
        <v>827</v>
      </c>
      <c r="B24" s="311">
        <f>ROUND(TANH(K24*Calibration!$C$26),4)</f>
        <v>0.96540000000000004</v>
      </c>
      <c r="C24" s="62">
        <v>0.42</v>
      </c>
      <c r="D24" s="312">
        <v>350</v>
      </c>
      <c r="E24" s="61">
        <f t="shared" si="2"/>
        <v>10</v>
      </c>
      <c r="F24" s="315">
        <v>4</v>
      </c>
      <c r="G24" s="76">
        <f t="shared" si="3"/>
        <v>0.75</v>
      </c>
      <c r="H24" s="215">
        <f>MIN(1,C24*G24*(CORE!$D$44/10))</f>
        <v>0.20396249999999999</v>
      </c>
      <c r="I24" s="311">
        <f>-TANH(H24)*(CORE!$B$14-B24)</f>
        <v>-6.9608438168064952E-3</v>
      </c>
      <c r="J24" s="217" t="str">
        <f>IF(ABS(I24)+ABS(B24)&lt;=CORE!$B$14,"VALID","VIOLATION")</f>
        <v>VALID</v>
      </c>
      <c r="K24" s="313">
        <v>1</v>
      </c>
      <c r="L24" s="314" t="s">
        <v>887</v>
      </c>
    </row>
    <row r="27" spans="1:12" ht="15" customHeight="1" x14ac:dyDescent="0.25">
      <c r="A27" s="439" t="s">
        <v>836</v>
      </c>
      <c r="B27" s="439"/>
      <c r="C27" s="439"/>
      <c r="D27" s="439"/>
      <c r="E27" s="439"/>
      <c r="F27" s="439"/>
      <c r="G27" s="439"/>
      <c r="H27" s="439"/>
      <c r="I27" s="439"/>
      <c r="J27" s="439"/>
    </row>
    <row r="28" spans="1:12" ht="30" customHeight="1" x14ac:dyDescent="0.25">
      <c r="A28" s="45" t="s">
        <v>812</v>
      </c>
      <c r="B28" s="52" t="s">
        <v>872</v>
      </c>
      <c r="C28" s="45" t="s">
        <v>525</v>
      </c>
      <c r="D28" s="45" t="s">
        <v>602</v>
      </c>
      <c r="E28" s="45" t="s">
        <v>893</v>
      </c>
      <c r="F28" s="45" t="s">
        <v>605</v>
      </c>
      <c r="G28" s="45" t="s">
        <v>894</v>
      </c>
      <c r="H28" s="45" t="s">
        <v>608</v>
      </c>
      <c r="I28" s="52" t="s">
        <v>877</v>
      </c>
      <c r="J28" s="45" t="s">
        <v>816</v>
      </c>
      <c r="K28" s="52" t="s">
        <v>878</v>
      </c>
      <c r="L28" s="52" t="s">
        <v>879</v>
      </c>
    </row>
    <row r="29" spans="1:12" ht="15" customHeight="1" x14ac:dyDescent="0.25">
      <c r="A29" s="43" t="s">
        <v>819</v>
      </c>
      <c r="B29" s="311">
        <f>ROUND(TANH(K29*Calibration!$C$26),4)</f>
        <v>0.24729999999999999</v>
      </c>
      <c r="C29" s="62">
        <v>0.5</v>
      </c>
      <c r="D29" s="312">
        <v>60</v>
      </c>
      <c r="E29" s="61">
        <f t="shared" ref="E29:E36" si="4">MIN(10,MAX(1,2*LN(D29+1)))</f>
        <v>8.2217477283466227</v>
      </c>
      <c r="F29" s="315">
        <v>9</v>
      </c>
      <c r="G29" s="76">
        <f t="shared" ref="G29:G36" si="5">1/(1+F29/12)</f>
        <v>0.5714285714285714</v>
      </c>
      <c r="H29" s="215">
        <f>MIN(1,C29*G29*(CORE!$D$44/10))</f>
        <v>0.18499999999999997</v>
      </c>
      <c r="I29" s="311">
        <f>-TANH(H29)*(CORE!$B$14-B29)</f>
        <v>-0.13768234613270711</v>
      </c>
      <c r="J29" s="217" t="str">
        <f>IF(ABS(I29)+ABS(B29)&lt;=CORE!$B$14,"VALID","VIOLATION")</f>
        <v>VALID</v>
      </c>
      <c r="K29" s="313">
        <v>0.125</v>
      </c>
      <c r="L29" s="314" t="s">
        <v>880</v>
      </c>
    </row>
    <row r="30" spans="1:12" ht="15" customHeight="1" x14ac:dyDescent="0.25">
      <c r="A30" s="43" t="s">
        <v>821</v>
      </c>
      <c r="B30" s="311">
        <f>ROUND(TANH(K30*Calibration!$C$26),4)</f>
        <v>0.46600000000000003</v>
      </c>
      <c r="C30" s="62">
        <v>0.57999999999999996</v>
      </c>
      <c r="D30" s="312">
        <v>80</v>
      </c>
      <c r="E30" s="61">
        <f t="shared" si="4"/>
        <v>8.7888983093448783</v>
      </c>
      <c r="F30" s="315">
        <v>7.5</v>
      </c>
      <c r="G30" s="76">
        <f t="shared" si="5"/>
        <v>0.61538461538461542</v>
      </c>
      <c r="H30" s="215">
        <f>MIN(1,C30*G30*(CORE!$D$44/10))</f>
        <v>0.23110769230769229</v>
      </c>
      <c r="I30" s="311">
        <f>-TANH(H30)*(CORE!$B$14-B30)</f>
        <v>-0.12126028765750187</v>
      </c>
      <c r="J30" s="217" t="str">
        <f>IF(ABS(I30)+ABS(B30)&lt;=CORE!$B$14,"VALID","VIOLATION")</f>
        <v>VALID</v>
      </c>
      <c r="K30" s="313">
        <v>0.25</v>
      </c>
      <c r="L30" s="314" t="s">
        <v>881</v>
      </c>
    </row>
    <row r="31" spans="1:12" ht="15" customHeight="1" x14ac:dyDescent="0.25">
      <c r="A31" s="43" t="s">
        <v>822</v>
      </c>
      <c r="B31" s="311">
        <f>ROUND(TANH(K31*Calibration!$C$26),4)</f>
        <v>0.63959999999999995</v>
      </c>
      <c r="C31" s="62">
        <v>0.65</v>
      </c>
      <c r="D31" s="312">
        <v>100</v>
      </c>
      <c r="E31" s="61">
        <f t="shared" si="4"/>
        <v>9.2302410336825194</v>
      </c>
      <c r="F31" s="315">
        <v>6</v>
      </c>
      <c r="G31" s="76">
        <f t="shared" si="5"/>
        <v>0.66666666666666663</v>
      </c>
      <c r="H31" s="215">
        <f>MIN(1,C31*G31*(CORE!$D$44/10))</f>
        <v>0.28058333333333335</v>
      </c>
      <c r="I31" s="311">
        <f>-TANH(H31)*(CORE!$B$14-B31)</f>
        <v>-9.8549535789300924E-2</v>
      </c>
      <c r="J31" s="217" t="str">
        <f>IF(ABS(I31)+ABS(B31)&lt;=CORE!$B$14,"VALID","VIOLATION")</f>
        <v>VALID</v>
      </c>
      <c r="K31" s="313">
        <v>0.375</v>
      </c>
      <c r="L31" s="314" t="s">
        <v>882</v>
      </c>
    </row>
    <row r="32" spans="1:12" ht="15" customHeight="1" x14ac:dyDescent="0.25">
      <c r="A32" s="43" t="s">
        <v>823</v>
      </c>
      <c r="B32" s="311">
        <f>ROUND(TANH(K32*Calibration!$C$26),4)</f>
        <v>0.76580000000000004</v>
      </c>
      <c r="C32" s="62">
        <v>0.7</v>
      </c>
      <c r="D32" s="312">
        <v>120</v>
      </c>
      <c r="E32" s="61">
        <f t="shared" si="4"/>
        <v>9.5915810911934827</v>
      </c>
      <c r="F32" s="315">
        <v>4.5</v>
      </c>
      <c r="G32" s="76">
        <f t="shared" si="5"/>
        <v>0.72727272727272729</v>
      </c>
      <c r="H32" s="215">
        <f>MIN(1,C32*G32*(CORE!$D$44/10))</f>
        <v>0.32963636363636356</v>
      </c>
      <c r="I32" s="311">
        <f>-TANH(H32)*(CORE!$B$14-B32)</f>
        <v>-7.4521033771301287E-2</v>
      </c>
      <c r="J32" s="217" t="str">
        <f>IF(ABS(I32)+ABS(B32)&lt;=CORE!$B$14,"VALID","VIOLATION")</f>
        <v>VALID</v>
      </c>
      <c r="K32" s="313">
        <v>0.5</v>
      </c>
      <c r="L32" s="314" t="s">
        <v>883</v>
      </c>
    </row>
    <row r="33" spans="1:12" ht="15" customHeight="1" x14ac:dyDescent="0.25">
      <c r="A33" s="43" t="s">
        <v>824</v>
      </c>
      <c r="B33" s="311">
        <f>ROUND(TANH(K33*Calibration!$C$26),4)</f>
        <v>0.8518</v>
      </c>
      <c r="C33" s="62">
        <v>0.72</v>
      </c>
      <c r="D33" s="312">
        <v>125</v>
      </c>
      <c r="E33" s="61">
        <f t="shared" si="4"/>
        <v>9.6725638139029559</v>
      </c>
      <c r="F33" s="315">
        <v>3</v>
      </c>
      <c r="G33" s="76">
        <f t="shared" si="5"/>
        <v>0.8</v>
      </c>
      <c r="H33" s="215">
        <f>MIN(1,C33*G33*(CORE!$D$44/10))</f>
        <v>0.37295999999999996</v>
      </c>
      <c r="I33" s="311">
        <f>-TANH(H33)*(CORE!$B$14-B33)</f>
        <v>-5.2844870996377032E-2</v>
      </c>
      <c r="J33" s="217" t="str">
        <f>IF(ABS(I33)+ABS(B33)&lt;=CORE!$B$14,"VALID","VIOLATION")</f>
        <v>VALID</v>
      </c>
      <c r="K33" s="313">
        <v>0.625</v>
      </c>
      <c r="L33" s="314" t="s">
        <v>884</v>
      </c>
    </row>
    <row r="34" spans="1:12" ht="15" customHeight="1" x14ac:dyDescent="0.25">
      <c r="A34" s="43" t="s">
        <v>825</v>
      </c>
      <c r="B34" s="311">
        <f>ROUND(TANH(K34*Calibration!$C$26),4)</f>
        <v>0.90780000000000005</v>
      </c>
      <c r="C34" s="62">
        <v>0.68</v>
      </c>
      <c r="D34" s="312">
        <v>115</v>
      </c>
      <c r="E34" s="61">
        <f t="shared" si="4"/>
        <v>9.507180382212729</v>
      </c>
      <c r="F34" s="315">
        <v>2</v>
      </c>
      <c r="G34" s="76">
        <f t="shared" si="5"/>
        <v>0.8571428571428571</v>
      </c>
      <c r="H34" s="215">
        <f>MIN(1,C34*G34*(CORE!$D$44/10))</f>
        <v>0.37739999999999996</v>
      </c>
      <c r="I34" s="311">
        <f>-TANH(H34)*(CORE!$B$14-B34)</f>
        <v>-3.3233249244193186E-2</v>
      </c>
      <c r="J34" s="217" t="str">
        <f>IF(ABS(I34)+ABS(B34)&lt;=CORE!$B$14,"VALID","VIOLATION")</f>
        <v>VALID</v>
      </c>
      <c r="K34" s="313">
        <v>0.75</v>
      </c>
      <c r="L34" s="314" t="s">
        <v>885</v>
      </c>
    </row>
    <row r="35" spans="1:12" ht="15" customHeight="1" x14ac:dyDescent="0.25">
      <c r="A35" s="43" t="s">
        <v>826</v>
      </c>
      <c r="B35" s="311">
        <f>ROUND(TANH(K35*Calibration!$C$26),4)</f>
        <v>0.94330000000000003</v>
      </c>
      <c r="C35" s="62">
        <v>0.6</v>
      </c>
      <c r="D35" s="312">
        <v>100</v>
      </c>
      <c r="E35" s="61">
        <f t="shared" si="4"/>
        <v>9.2302410336825194</v>
      </c>
      <c r="F35" s="315">
        <v>1</v>
      </c>
      <c r="G35" s="76">
        <f t="shared" si="5"/>
        <v>0.92307692307692313</v>
      </c>
      <c r="H35" s="215">
        <f>MIN(1,C35*G35*(CORE!$D$44/10))</f>
        <v>0.35861538461538461</v>
      </c>
      <c r="I35" s="311">
        <f>-TANH(H35)*(CORE!$B$14-B35)</f>
        <v>-1.9504450993835309E-2</v>
      </c>
      <c r="J35" s="217" t="str">
        <f>IF(ABS(I35)+ABS(B35)&lt;=CORE!$B$14,"VALID","VIOLATION")</f>
        <v>VALID</v>
      </c>
      <c r="K35" s="313">
        <v>0.875</v>
      </c>
      <c r="L35" s="314" t="s">
        <v>886</v>
      </c>
    </row>
    <row r="36" spans="1:12" ht="15" customHeight="1" x14ac:dyDescent="0.25">
      <c r="A36" s="43" t="s">
        <v>827</v>
      </c>
      <c r="B36" s="311">
        <f>ROUND(TANH(K36*Calibration!$C$26),4)</f>
        <v>0.96540000000000004</v>
      </c>
      <c r="C36" s="62">
        <v>0.5</v>
      </c>
      <c r="D36" s="312">
        <v>80</v>
      </c>
      <c r="E36" s="61">
        <f t="shared" si="4"/>
        <v>8.7888983093448783</v>
      </c>
      <c r="F36" s="315">
        <v>0.5</v>
      </c>
      <c r="G36" s="76">
        <f t="shared" si="5"/>
        <v>0.96</v>
      </c>
      <c r="H36" s="215">
        <f>MIN(1,C36*G36*(CORE!$D$44/10))</f>
        <v>0.31079999999999997</v>
      </c>
      <c r="I36" s="311">
        <f>-TANH(H36)*(CORE!$B$14-B36)</f>
        <v>-1.0420299040421962E-2</v>
      </c>
      <c r="J36" s="217" t="str">
        <f>IF(ABS(I36)+ABS(B36)&lt;=CORE!$B$14,"VALID","VIOLATION")</f>
        <v>VALID</v>
      </c>
      <c r="K36" s="313">
        <v>1</v>
      </c>
      <c r="L36" s="314" t="s">
        <v>887</v>
      </c>
    </row>
  </sheetData>
  <mergeCells count="4">
    <mergeCell ref="A1:J1"/>
    <mergeCell ref="A3:J3"/>
    <mergeCell ref="A15:J15"/>
    <mergeCell ref="A27:J27"/>
  </mergeCells>
  <pageMargins left="0.75" right="0.75" top="1" bottom="1" header="0.511811023622047" footer="0.511811023622047"/>
  <pageSetup fitToHeight="0"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B2A4A"/>
    <pageSetUpPr fitToPage="1"/>
  </sheetPr>
  <dimension ref="A1:J40"/>
  <sheetViews>
    <sheetView zoomScaleNormal="100" workbookViewId="0"/>
  </sheetViews>
  <sheetFormatPr defaultColWidth="8.7109375" defaultRowHeight="15" x14ac:dyDescent="0.25"/>
  <cols>
    <col min="1" max="1" width="22" customWidth="1"/>
    <col min="2" max="7" width="14" customWidth="1"/>
    <col min="8" max="8" width="30" customWidth="1"/>
  </cols>
  <sheetData>
    <row r="1" spans="1:8" ht="17.25" customHeight="1" x14ac:dyDescent="0.25">
      <c r="A1" s="3" t="s">
        <v>895</v>
      </c>
    </row>
    <row r="3" spans="1:8" ht="15" customHeight="1" x14ac:dyDescent="0.25">
      <c r="A3" s="5" t="s">
        <v>896</v>
      </c>
    </row>
    <row r="4" spans="1:8" ht="30" customHeight="1" x14ac:dyDescent="0.25">
      <c r="A4" s="45" t="s">
        <v>244</v>
      </c>
      <c r="B4" s="45" t="s">
        <v>41</v>
      </c>
      <c r="C4" s="45" t="s">
        <v>162</v>
      </c>
      <c r="D4" s="45"/>
      <c r="E4" s="45"/>
      <c r="F4" s="45"/>
      <c r="G4" s="45"/>
      <c r="H4" s="45"/>
    </row>
    <row r="5" spans="1:8" ht="15" customHeight="1" x14ac:dyDescent="0.25">
      <c r="A5" s="40" t="s">
        <v>897</v>
      </c>
      <c r="B5" s="295">
        <f>CORE!D36</f>
        <v>6.8849999999999998</v>
      </c>
      <c r="C5" s="1" t="str">
        <f>IF(CORE!D36&gt;=7,"●  STRONG",IF(CORE!D36&gt;=4,"●  ADEQUATE","●  WEAK"))</f>
        <v>●  ADEQUATE</v>
      </c>
    </row>
    <row r="6" spans="1:8" ht="15" customHeight="1" x14ac:dyDescent="0.25">
      <c r="A6" s="40" t="s">
        <v>898</v>
      </c>
      <c r="B6" s="295">
        <f>CORE!D44</f>
        <v>6.4749999999999996</v>
      </c>
      <c r="C6" s="1" t="str">
        <f>IF(CORE!D44&gt;=7,"●  HIGH",IF(CORE!D44&gt;=4,"●  MODERATE","●  LOW"))</f>
        <v>●  MODERATE</v>
      </c>
    </row>
    <row r="7" spans="1:8" ht="23.25" customHeight="1" x14ac:dyDescent="0.25">
      <c r="A7" s="40" t="s">
        <v>899</v>
      </c>
      <c r="B7" s="295" t="str">
        <f>CORE!B53</f>
        <v>BLACK PHOENIX</v>
      </c>
      <c r="C7" s="1" t="str">
        <f>CORE!C53</f>
        <v>Optimal: high resilience + high mobility</v>
      </c>
    </row>
    <row r="8" spans="1:8" ht="15" customHeight="1" x14ac:dyDescent="0.25">
      <c r="A8" s="40" t="s">
        <v>900</v>
      </c>
      <c r="B8" s="295">
        <f>SUMPRODUCT((RADAR!B6:B36&lt;&gt;"")*1)</f>
        <v>0</v>
      </c>
      <c r="C8" s="1"/>
    </row>
    <row r="9" spans="1:8" ht="15" customHeight="1" x14ac:dyDescent="0.25">
      <c r="A9" s="40" t="s">
        <v>901</v>
      </c>
      <c r="B9" s="295">
        <f>COUNTIF(RADAR!Y6:Y36,"CRITICAL")</f>
        <v>0</v>
      </c>
      <c r="C9" s="1" t="str">
        <f>IF(B8&gt;0,"⚠ IMMEDIATE ATTENTION","✓ None")</f>
        <v>✓ None</v>
      </c>
    </row>
    <row r="10" spans="1:8" ht="15" customHeight="1" x14ac:dyDescent="0.25">
      <c r="A10" s="40" t="s">
        <v>902</v>
      </c>
      <c r="B10" s="295">
        <f>SUMPRODUCT((FORGE!B6:B36&lt;&gt;"")*1)</f>
        <v>0</v>
      </c>
      <c r="C10" s="1"/>
    </row>
    <row r="11" spans="1:8" ht="15" customHeight="1" x14ac:dyDescent="0.25">
      <c r="A11" s="40" t="s">
        <v>903</v>
      </c>
      <c r="B11" s="316">
        <f>SUM(RADAR!G6:G36)</f>
        <v>0</v>
      </c>
      <c r="C11" s="1"/>
    </row>
    <row r="12" spans="1:8" ht="15" customHeight="1" x14ac:dyDescent="0.25">
      <c r="A12" s="40" t="s">
        <v>904</v>
      </c>
      <c r="B12" s="316">
        <f>SUM(Opportunities!G6:G36)</f>
        <v>414</v>
      </c>
      <c r="C12" s="1"/>
    </row>
    <row r="13" spans="1:8" ht="15" customHeight="1" x14ac:dyDescent="0.25">
      <c r="A13" s="40" t="s">
        <v>697</v>
      </c>
      <c r="B13" s="295">
        <f>Coherence_Density!D20</f>
        <v>0.255</v>
      </c>
      <c r="C13" s="1" t="str">
        <f>IF(Coherence_Density!D20&gt;0.35,"⚠ HIGH CASCADE",IF(Coherence_Density!D20&gt;0.2,"MODERATE","LOW"))</f>
        <v>MODERATE</v>
      </c>
    </row>
    <row r="16" spans="1:8" ht="21.75" customHeight="1" x14ac:dyDescent="0.25">
      <c r="A16" s="4" t="s">
        <v>905</v>
      </c>
    </row>
    <row r="17" spans="1:10" ht="30" customHeight="1" x14ac:dyDescent="0.25">
      <c r="A17" s="52" t="s">
        <v>524</v>
      </c>
      <c r="B17" s="52" t="s">
        <v>876</v>
      </c>
      <c r="C17" s="52" t="s">
        <v>906</v>
      </c>
      <c r="D17" s="52" t="s">
        <v>326</v>
      </c>
      <c r="E17" s="52" t="s">
        <v>907</v>
      </c>
      <c r="F17" s="52" t="s">
        <v>908</v>
      </c>
      <c r="G17" s="52" t="s">
        <v>909</v>
      </c>
      <c r="H17" s="52" t="s">
        <v>910</v>
      </c>
      <c r="I17" s="52" t="s">
        <v>544</v>
      </c>
      <c r="J17" s="52" t="s">
        <v>136</v>
      </c>
    </row>
    <row r="18" spans="1:10" ht="15" customHeight="1" x14ac:dyDescent="0.25">
      <c r="A18" s="317" t="str">
        <f>IF(RADAR!B6="","",RADAR!B6)</f>
        <v/>
      </c>
      <c r="B18" s="318" t="str">
        <f>IF(RADAR!P6="","",RADAR!P6)</f>
        <v/>
      </c>
      <c r="C18" s="318" t="str">
        <f>IF(RADAR!T6="","",RADAR!T6)</f>
        <v/>
      </c>
      <c r="D18" s="319" t="str">
        <f>IF(RADAR!Y6="","",RADAR!Y6)</f>
        <v/>
      </c>
      <c r="E18" s="319" t="str">
        <f>IF(RADAR!G6="","",RADAR!G6)</f>
        <v/>
      </c>
      <c r="F18" s="318" t="str">
        <f>IF(RADAR!Q6="","",RADAR!Q6)</f>
        <v/>
      </c>
      <c r="G18" s="318" t="str">
        <f>IF(RADAR!J6="","",RADAR!J6)</f>
        <v/>
      </c>
      <c r="H18" s="318" t="str">
        <f>IF(RADAR!U6="","",RADAR!U6)</f>
        <v/>
      </c>
      <c r="I18" s="318" t="str">
        <f>IF(RADAR!X6="","",RADAR!X6)</f>
        <v/>
      </c>
      <c r="J18" s="317" t="str">
        <f>IF(RADAR!AB6="","",RADAR!AB6)</f>
        <v/>
      </c>
    </row>
    <row r="19" spans="1:10" ht="15" customHeight="1" x14ac:dyDescent="0.25">
      <c r="A19" s="317" t="str">
        <f>IF(RADAR!B7="","",RADAR!B7)</f>
        <v/>
      </c>
      <c r="B19" s="318" t="str">
        <f>IF(RADAR!P7="","",RADAR!P7)</f>
        <v/>
      </c>
      <c r="C19" s="318" t="str">
        <f>IF(RADAR!T7="","",RADAR!T7)</f>
        <v/>
      </c>
      <c r="D19" s="319" t="str">
        <f>IF(RADAR!Y7="","",RADAR!Y7)</f>
        <v/>
      </c>
      <c r="E19" s="319" t="str">
        <f>IF(RADAR!G7="","",RADAR!G7)</f>
        <v/>
      </c>
      <c r="F19" s="318" t="str">
        <f>IF(RADAR!Q7="","",RADAR!Q7)</f>
        <v/>
      </c>
      <c r="G19" s="318" t="str">
        <f>IF(RADAR!J7="","",RADAR!J7)</f>
        <v/>
      </c>
      <c r="H19" s="318" t="str">
        <f>IF(RADAR!U7="","",RADAR!U7)</f>
        <v/>
      </c>
      <c r="I19" s="318" t="str">
        <f>IF(RADAR!X7="","",RADAR!X7)</f>
        <v/>
      </c>
      <c r="J19" s="317" t="str">
        <f>IF(RADAR!AB7="","",RADAR!AB7)</f>
        <v/>
      </c>
    </row>
    <row r="20" spans="1:10" ht="15" customHeight="1" x14ac:dyDescent="0.25">
      <c r="A20" s="317" t="str">
        <f>IF(RADAR!B8="","",RADAR!B8)</f>
        <v/>
      </c>
      <c r="B20" s="318" t="str">
        <f>IF(RADAR!P8="","",RADAR!P8)</f>
        <v/>
      </c>
      <c r="C20" s="318" t="str">
        <f>IF(RADAR!T8="","",RADAR!T8)</f>
        <v/>
      </c>
      <c r="D20" s="319" t="str">
        <f>IF(RADAR!Y8="","",RADAR!Y8)</f>
        <v/>
      </c>
      <c r="E20" s="319" t="str">
        <f>IF(RADAR!G8="","",RADAR!G8)</f>
        <v/>
      </c>
      <c r="F20" s="318" t="str">
        <f>IF(RADAR!Q8="","",RADAR!Q8)</f>
        <v/>
      </c>
      <c r="G20" s="318" t="str">
        <f>IF(RADAR!J8="","",RADAR!J8)</f>
        <v/>
      </c>
      <c r="H20" s="318" t="str">
        <f>IF(RADAR!U8="","",RADAR!U8)</f>
        <v/>
      </c>
      <c r="I20" s="318" t="str">
        <f>IF(RADAR!X8="","",RADAR!X8)</f>
        <v/>
      </c>
      <c r="J20" s="317" t="str">
        <f>IF(RADAR!AB8="","",RADAR!AB8)</f>
        <v/>
      </c>
    </row>
    <row r="21" spans="1:10" ht="15" customHeight="1" x14ac:dyDescent="0.25">
      <c r="A21" s="317" t="str">
        <f>IF(RADAR!B9="","",RADAR!B9)</f>
        <v/>
      </c>
      <c r="B21" s="318" t="str">
        <f>IF(RADAR!P9="","",RADAR!P9)</f>
        <v/>
      </c>
      <c r="C21" s="318" t="str">
        <f>IF(RADAR!T9="","",RADAR!T9)</f>
        <v/>
      </c>
      <c r="D21" s="319" t="str">
        <f>IF(RADAR!Y9="","",RADAR!Y9)</f>
        <v/>
      </c>
      <c r="E21" s="319" t="str">
        <f>IF(RADAR!G9="","",RADAR!G9)</f>
        <v/>
      </c>
      <c r="F21" s="318" t="str">
        <f>IF(RADAR!Q9="","",RADAR!Q9)</f>
        <v/>
      </c>
      <c r="G21" s="318" t="str">
        <f>IF(RADAR!J9="","",RADAR!J9)</f>
        <v/>
      </c>
      <c r="H21" s="318" t="str">
        <f>IF(RADAR!U9="","",RADAR!U9)</f>
        <v/>
      </c>
      <c r="I21" s="318" t="str">
        <f>IF(RADAR!X9="","",RADAR!X9)</f>
        <v/>
      </c>
      <c r="J21" s="317" t="str">
        <f>IF(RADAR!AB9="","",RADAR!AB9)</f>
        <v/>
      </c>
    </row>
    <row r="22" spans="1:10" ht="15" customHeight="1" x14ac:dyDescent="0.25">
      <c r="A22" s="317" t="str">
        <f>IF(RADAR!B10="","",RADAR!B10)</f>
        <v/>
      </c>
      <c r="B22" s="318" t="str">
        <f>IF(RADAR!P10="","",RADAR!P10)</f>
        <v/>
      </c>
      <c r="C22" s="318" t="str">
        <f>IF(RADAR!T10="","",RADAR!T10)</f>
        <v/>
      </c>
      <c r="D22" s="319" t="str">
        <f>IF(RADAR!Y10="","",RADAR!Y10)</f>
        <v/>
      </c>
      <c r="E22" s="319" t="str">
        <f>IF(RADAR!G10="","",RADAR!G10)</f>
        <v/>
      </c>
      <c r="F22" s="318" t="str">
        <f>IF(RADAR!Q10="","",RADAR!Q10)</f>
        <v/>
      </c>
      <c r="G22" s="318" t="str">
        <f>IF(RADAR!J10="","",RADAR!J10)</f>
        <v/>
      </c>
      <c r="H22" s="318" t="str">
        <f>IF(RADAR!U10="","",RADAR!U10)</f>
        <v/>
      </c>
      <c r="I22" s="318" t="str">
        <f>IF(RADAR!X10="","",RADAR!X10)</f>
        <v/>
      </c>
      <c r="J22" s="317" t="str">
        <f>IF(RADAR!AB10="","",RADAR!AB10)</f>
        <v/>
      </c>
    </row>
    <row r="23" spans="1:10" ht="15" customHeight="1" x14ac:dyDescent="0.25">
      <c r="A23" s="320" t="str">
        <f>IF(RADAR!B11="","",RADAR!B11)</f>
        <v/>
      </c>
      <c r="B23" s="320" t="str">
        <f>IF(RADAR!P11="","",RADAR!P11)</f>
        <v/>
      </c>
      <c r="C23" s="320" t="str">
        <f>IF(RADAR!T11="","",RADAR!T11)</f>
        <v/>
      </c>
      <c r="D23" s="320" t="str">
        <f>IF(RADAR!Y11="","",RADAR!Y11)</f>
        <v/>
      </c>
      <c r="E23" s="320" t="str">
        <f>IF(RADAR!G11="","",RADAR!G11)</f>
        <v/>
      </c>
      <c r="F23" s="320" t="str">
        <f>IF(RADAR!Q11="","",RADAR!Q11)</f>
        <v/>
      </c>
      <c r="G23" s="320" t="str">
        <f>IF(RADAR!J11="","",RADAR!J11)</f>
        <v/>
      </c>
      <c r="H23" s="320" t="str">
        <f>IF(RADAR!U11="","",RADAR!U11)</f>
        <v/>
      </c>
      <c r="I23" s="320" t="str">
        <f>IF(RADAR!X11="","",RADAR!X11)</f>
        <v/>
      </c>
      <c r="J23" s="320" t="str">
        <f>IF(RADAR!AB11="","",RADAR!AB11)</f>
        <v/>
      </c>
    </row>
    <row r="24" spans="1:10" ht="21.75" customHeight="1" x14ac:dyDescent="0.25">
      <c r="A24" s="321" t="str">
        <f>IF(RADAR!B12="","",RADAR!B12)</f>
        <v/>
      </c>
      <c r="B24" s="320" t="str">
        <f>IF(RADAR!P12="","",RADAR!P12)</f>
        <v/>
      </c>
      <c r="C24" s="320" t="str">
        <f>IF(RADAR!T12="","",RADAR!T12)</f>
        <v/>
      </c>
      <c r="D24" s="320" t="str">
        <f>IF(RADAR!Y12="","",RADAR!Y12)</f>
        <v/>
      </c>
      <c r="E24" s="320" t="str">
        <f>IF(RADAR!G12="","",RADAR!G12)</f>
        <v/>
      </c>
      <c r="F24" s="320" t="str">
        <f>IF(RADAR!Q12="","",RADAR!Q12)</f>
        <v/>
      </c>
      <c r="G24" s="320" t="str">
        <f>IF(RADAR!J12="","",RADAR!J12)</f>
        <v/>
      </c>
      <c r="H24" s="320" t="str">
        <f>IF(RADAR!U12="","",RADAR!U12)</f>
        <v/>
      </c>
      <c r="I24" s="320" t="str">
        <f>IF(RADAR!X12="","",RADAR!X12)</f>
        <v/>
      </c>
      <c r="J24" s="320" t="str">
        <f>IF(RADAR!AB12="","",RADAR!AB12)</f>
        <v/>
      </c>
    </row>
    <row r="25" spans="1:10" ht="15" customHeight="1" x14ac:dyDescent="0.25">
      <c r="A25" s="322" t="str">
        <f>IF(RADAR!B13="","",RADAR!B13)</f>
        <v/>
      </c>
      <c r="B25" s="322" t="str">
        <f>IF(RADAR!P13="","",RADAR!P13)</f>
        <v/>
      </c>
      <c r="C25" s="322" t="str">
        <f>IF(RADAR!T13="","",RADAR!T13)</f>
        <v/>
      </c>
      <c r="D25" s="322" t="str">
        <f>IF(RADAR!Y13="","",RADAR!Y13)</f>
        <v/>
      </c>
      <c r="E25" s="322" t="str">
        <f>IF(RADAR!G13="","",RADAR!G13)</f>
        <v/>
      </c>
      <c r="F25" s="322" t="str">
        <f>IF(RADAR!Q13="","",RADAR!Q13)</f>
        <v/>
      </c>
      <c r="G25" s="322" t="str">
        <f>IF(RADAR!J13="","",RADAR!J13)</f>
        <v/>
      </c>
      <c r="H25" s="322" t="str">
        <f>IF(RADAR!U13="","",RADAR!U13)</f>
        <v/>
      </c>
      <c r="I25" s="322" t="str">
        <f>IF(RADAR!X13="","",RADAR!X13)</f>
        <v/>
      </c>
      <c r="J25" s="322" t="str">
        <f>IF(RADAR!AB13="","",RADAR!AB13)</f>
        <v/>
      </c>
    </row>
    <row r="26" spans="1:10" ht="30" customHeight="1" x14ac:dyDescent="0.25">
      <c r="A26" s="323" t="str">
        <f>IF(RADAR!B14="","",RADAR!B14)</f>
        <v/>
      </c>
      <c r="B26" s="324" t="str">
        <f>IF(RADAR!P14="","",RADAR!P14)</f>
        <v/>
      </c>
      <c r="C26" s="325" t="str">
        <f>IF(RADAR!T14="","",RADAR!T14)</f>
        <v/>
      </c>
      <c r="D26" s="325" t="str">
        <f>IF(RADAR!Y14="","",RADAR!Y14)</f>
        <v/>
      </c>
      <c r="E26" s="325" t="str">
        <f>IF(RADAR!G14="","",RADAR!G14)</f>
        <v/>
      </c>
      <c r="F26" s="326" t="str">
        <f>IF(RADAR!Q14="","",RADAR!Q14)</f>
        <v/>
      </c>
      <c r="G26" s="325" t="str">
        <f>IF(RADAR!J14="","",RADAR!J14)</f>
        <v/>
      </c>
      <c r="H26" s="327" t="str">
        <f>IF(RADAR!U14="","",RADAR!U14)</f>
        <v/>
      </c>
      <c r="I26" s="328" t="str">
        <f>IF(RADAR!X14="","",RADAR!X14)</f>
        <v/>
      </c>
      <c r="J26" s="329" t="str">
        <f>IF(RADAR!AB14="","",RADAR!AB14)</f>
        <v/>
      </c>
    </row>
    <row r="27" spans="1:10" ht="21.75" customHeight="1" x14ac:dyDescent="0.25">
      <c r="A27" s="317" t="str">
        <f>IF(RADAR!B15="","",RADAR!B15)</f>
        <v/>
      </c>
      <c r="B27" s="329" t="str">
        <f>IF(RADAR!P15="","",RADAR!P15)</f>
        <v/>
      </c>
      <c r="C27" s="318" t="str">
        <f>IF(RADAR!T15="","",RADAR!T15)</f>
        <v/>
      </c>
      <c r="D27" s="318" t="str">
        <f>IF(RADAR!Y15="","",RADAR!Y15)</f>
        <v/>
      </c>
      <c r="E27" s="318" t="str">
        <f>IF(RADAR!G15="","",RADAR!G15)</f>
        <v/>
      </c>
      <c r="F27" s="319" t="str">
        <f>IF(RADAR!Q15="","",RADAR!Q15)</f>
        <v/>
      </c>
      <c r="G27" s="318" t="str">
        <f>IF(RADAR!J15="","",RADAR!J15)</f>
        <v/>
      </c>
      <c r="H27" s="330" t="str">
        <f>IF(RADAR!U15="","",RADAR!U15)</f>
        <v/>
      </c>
      <c r="I27" s="328" t="str">
        <f>IF(RADAR!X15="","",RADAR!X15)</f>
        <v/>
      </c>
      <c r="J27" s="329" t="str">
        <f>IF(RADAR!AB15="","",RADAR!AB15)</f>
        <v/>
      </c>
    </row>
    <row r="28" spans="1:10" ht="21.75" customHeight="1" x14ac:dyDescent="0.25">
      <c r="A28" s="317"/>
      <c r="B28" s="329"/>
      <c r="C28" s="318"/>
      <c r="D28" s="318"/>
      <c r="E28" s="318"/>
      <c r="F28" s="319"/>
      <c r="G28" s="318"/>
      <c r="H28" s="330"/>
      <c r="I28" s="328"/>
      <c r="J28" s="329"/>
    </row>
    <row r="29" spans="1:10" ht="21.75" customHeight="1" x14ac:dyDescent="0.25">
      <c r="A29" s="441" t="s">
        <v>911</v>
      </c>
      <c r="B29" s="441"/>
      <c r="C29" s="441"/>
      <c r="D29" s="441"/>
      <c r="E29" s="441"/>
      <c r="F29" s="441"/>
      <c r="G29" s="441"/>
      <c r="H29" s="441"/>
      <c r="I29" s="441"/>
      <c r="J29" s="441"/>
    </row>
    <row r="30" spans="1:10" ht="15" customHeight="1" x14ac:dyDescent="0.25">
      <c r="A30" s="331" t="s">
        <v>254</v>
      </c>
      <c r="B30" s="332" t="s">
        <v>575</v>
      </c>
      <c r="C30" s="333" t="s">
        <v>912</v>
      </c>
      <c r="D30" s="333" t="s">
        <v>913</v>
      </c>
      <c r="E30" s="333" t="s">
        <v>914</v>
      </c>
      <c r="F30" s="334" t="s">
        <v>915</v>
      </c>
      <c r="G30" s="333" t="s">
        <v>916</v>
      </c>
      <c r="H30" s="335" t="s">
        <v>894</v>
      </c>
      <c r="I30" s="336" t="s">
        <v>554</v>
      </c>
      <c r="J30" s="332" t="s">
        <v>162</v>
      </c>
    </row>
    <row r="31" spans="1:10" ht="21.75" customHeight="1" x14ac:dyDescent="0.25">
      <c r="A31" s="317" t="str">
        <f>IF(FORGE!B6="","",FORGE!B6)</f>
        <v/>
      </c>
      <c r="B31" s="329">
        <f>IF(FORGE!H6="","",FORGE!H6)</f>
        <v>9</v>
      </c>
      <c r="C31" s="329" t="str">
        <f>IF(FORGE!K6="","",FORGE!K6)</f>
        <v/>
      </c>
      <c r="D31" s="318">
        <f>IF(FORGE!L6="","",FORGE!L6)</f>
        <v>0</v>
      </c>
      <c r="E31" s="318">
        <f>IF(FORGE!N6="","",FORGE!N6)</f>
        <v>0</v>
      </c>
      <c r="F31" s="318">
        <f>IF(FORGE!O6="","",FORGE!O6)</f>
        <v>3</v>
      </c>
      <c r="G31" s="329" t="str">
        <f>IF(FORGE!P6="","",FORGE!P6)</f>
        <v/>
      </c>
      <c r="H31" s="318">
        <f>IF(FORGE!T6="","",FORGE!T6)</f>
        <v>0.3</v>
      </c>
      <c r="I31" s="329" t="str">
        <f>IF(FORGE!Z6="","",FORGE!Z6)</f>
        <v/>
      </c>
      <c r="J31" s="329" t="str">
        <f>IF(FORGE!AE6="","",FORGE!AE6)</f>
        <v>ACTIVE</v>
      </c>
    </row>
    <row r="32" spans="1:10" ht="15" customHeight="1" x14ac:dyDescent="0.25">
      <c r="A32" s="317" t="str">
        <f>IF(FORGE!B7="","",FORGE!B7)</f>
        <v/>
      </c>
      <c r="B32" s="329">
        <f>IF(FORGE!H7="","",FORGE!H7)</f>
        <v>6</v>
      </c>
      <c r="C32" s="329" t="str">
        <f>IF(FORGE!K7="","",FORGE!K7)</f>
        <v/>
      </c>
      <c r="D32" s="318">
        <f>IF(FORGE!L7="","",FORGE!L7)</f>
        <v>0</v>
      </c>
      <c r="E32" s="318">
        <f>IF(FORGE!N7="","",FORGE!N7)</f>
        <v>0</v>
      </c>
      <c r="F32" s="318">
        <f>IF(FORGE!O7="","",FORGE!O7)</f>
        <v>12</v>
      </c>
      <c r="G32" s="329" t="str">
        <f>IF(FORGE!P7="","",FORGE!P7)</f>
        <v/>
      </c>
      <c r="H32" s="318">
        <f>IF(FORGE!T7="","",FORGE!T7)</f>
        <v>4.9999999999999996E-2</v>
      </c>
      <c r="I32" s="329" t="str">
        <f>IF(FORGE!Z7="","",FORGE!Z7)</f>
        <v/>
      </c>
      <c r="J32" s="329" t="str">
        <f>IF(FORGE!AE7="","",FORGE!AE7)</f>
        <v>ACTIVE</v>
      </c>
    </row>
    <row r="33" spans="1:10" ht="21.75" customHeight="1" x14ac:dyDescent="0.25">
      <c r="A33" s="317" t="str">
        <f>IF(FORGE!B8="","",FORGE!B8)</f>
        <v/>
      </c>
      <c r="B33" s="329">
        <f>IF(FORGE!H8="","",FORGE!H8)</f>
        <v>7</v>
      </c>
      <c r="C33" s="337" t="str">
        <f>IF(FORGE!K8="","",FORGE!K8)</f>
        <v/>
      </c>
      <c r="D33" s="318">
        <f>IF(FORGE!L8="","",FORGE!L8)</f>
        <v>0</v>
      </c>
      <c r="E33" s="318">
        <f>IF(FORGE!N8="","",FORGE!N8)</f>
        <v>0</v>
      </c>
      <c r="F33" s="318">
        <f>IF(FORGE!O8="","",FORGE!O8)</f>
        <v>9</v>
      </c>
      <c r="G33" s="329" t="str">
        <f>IF(FORGE!P8="","",FORGE!P8)</f>
        <v/>
      </c>
      <c r="H33" s="318">
        <f>IF(FORGE!T8="","",FORGE!T8)</f>
        <v>7.7777777777777779E-2</v>
      </c>
      <c r="I33" s="329" t="str">
        <f>IF(FORGE!Z8="","",FORGE!Z8)</f>
        <v/>
      </c>
      <c r="J33" s="329" t="str">
        <f>IF(FORGE!AE8="","",FORGE!AE8)</f>
        <v>MONITORING</v>
      </c>
    </row>
    <row r="34" spans="1:10" ht="21.75" customHeight="1" x14ac:dyDescent="0.25">
      <c r="A34" s="317" t="str">
        <f>IF(FORGE!B9="","",FORGE!B9)</f>
        <v/>
      </c>
      <c r="B34" s="329" t="str">
        <f>IF(FORGE!H9="","",FORGE!H9)</f>
        <v/>
      </c>
      <c r="C34" s="318" t="str">
        <f>IF(FORGE!K9="","",FORGE!K9)</f>
        <v/>
      </c>
      <c r="D34" s="318">
        <f>IF(FORGE!L9="","",FORGE!L9)</f>
        <v>0</v>
      </c>
      <c r="E34" s="318">
        <f>IF(FORGE!N9="","",FORGE!N9)</f>
        <v>0</v>
      </c>
      <c r="F34" s="329" t="str">
        <f>IF(FORGE!O9="","",FORGE!O9)</f>
        <v/>
      </c>
      <c r="G34" s="329" t="str">
        <f>IF(FORGE!P9="","",FORGE!P9)</f>
        <v/>
      </c>
      <c r="H34" s="329" t="str">
        <f>IF(FORGE!T9="","",FORGE!T9)</f>
        <v/>
      </c>
      <c r="I34" s="329" t="str">
        <f>IF(FORGE!Z9="","",FORGE!Z9)</f>
        <v/>
      </c>
      <c r="J34" s="329" t="str">
        <f>IF(FORGE!AE9="","",FORGE!AE9)</f>
        <v/>
      </c>
    </row>
    <row r="35" spans="1:10" ht="15" customHeight="1" x14ac:dyDescent="0.25">
      <c r="A35" s="317" t="str">
        <f>IF(FORGE!B10="","",FORGE!B10)</f>
        <v/>
      </c>
      <c r="B35" s="329" t="str">
        <f>IF(FORGE!H10="","",FORGE!H10)</f>
        <v/>
      </c>
      <c r="C35" s="329" t="str">
        <f>IF(FORGE!K10="","",FORGE!K10)</f>
        <v/>
      </c>
      <c r="D35" s="318">
        <f>IF(FORGE!L10="","",FORGE!L10)</f>
        <v>0</v>
      </c>
      <c r="E35" s="318">
        <f>IF(FORGE!N10="","",FORGE!N10)</f>
        <v>0</v>
      </c>
      <c r="F35" s="329" t="str">
        <f>IF(FORGE!O10="","",FORGE!O10)</f>
        <v/>
      </c>
      <c r="G35" s="329" t="str">
        <f>IF(FORGE!P10="","",FORGE!P10)</f>
        <v/>
      </c>
      <c r="H35" s="329" t="str">
        <f>IF(FORGE!T10="","",FORGE!T10)</f>
        <v/>
      </c>
      <c r="I35" s="329" t="str">
        <f>IF(FORGE!Z10="","",FORGE!Z10)</f>
        <v/>
      </c>
      <c r="J35" s="329" t="str">
        <f>IF(FORGE!AE10="","",FORGE!AE10)</f>
        <v/>
      </c>
    </row>
    <row r="36" spans="1:10" ht="15" customHeight="1" x14ac:dyDescent="0.25">
      <c r="A36" s="317" t="str">
        <f>IF(FORGE!B11="","",FORGE!B11)</f>
        <v/>
      </c>
      <c r="B36" s="329" t="str">
        <f>IF(FORGE!H11="","",FORGE!H11)</f>
        <v/>
      </c>
      <c r="C36" s="329" t="str">
        <f>IF(FORGE!K11="","",FORGE!K11)</f>
        <v/>
      </c>
      <c r="D36" s="318">
        <f>IF(FORGE!L11="","",FORGE!L11)</f>
        <v>0</v>
      </c>
      <c r="E36" s="318">
        <f>IF(FORGE!N11="","",FORGE!N11)</f>
        <v>0</v>
      </c>
      <c r="F36" s="329" t="str">
        <f>IF(FORGE!O11="","",FORGE!O11)</f>
        <v/>
      </c>
      <c r="G36" s="329" t="str">
        <f>IF(FORGE!P11="","",FORGE!P11)</f>
        <v/>
      </c>
      <c r="H36" s="329" t="str">
        <f>IF(FORGE!T11="","",FORGE!T11)</f>
        <v/>
      </c>
      <c r="I36" s="329" t="str">
        <f>IF(FORGE!Z11="","",FORGE!Z11)</f>
        <v/>
      </c>
      <c r="J36" s="329" t="str">
        <f>IF(FORGE!AE11="","",FORGE!AE11)</f>
        <v/>
      </c>
    </row>
    <row r="37" spans="1:10" ht="15" customHeight="1" x14ac:dyDescent="0.25">
      <c r="A37" s="317" t="str">
        <f>IF(FORGE!B12="","",FORGE!B12)</f>
        <v/>
      </c>
      <c r="B37" s="329" t="str">
        <f>IF(FORGE!H12="","",FORGE!H12)</f>
        <v/>
      </c>
      <c r="C37" s="329" t="str">
        <f>IF(FORGE!K12="","",FORGE!K12)</f>
        <v/>
      </c>
      <c r="D37" s="318">
        <f>IF(FORGE!L12="","",FORGE!L12)</f>
        <v>0</v>
      </c>
      <c r="E37" s="318">
        <f>IF(FORGE!N12="","",FORGE!N12)</f>
        <v>0</v>
      </c>
      <c r="F37" s="329" t="str">
        <f>IF(FORGE!O12="","",FORGE!O12)</f>
        <v/>
      </c>
      <c r="G37" s="329" t="str">
        <f>IF(FORGE!P12="","",FORGE!P12)</f>
        <v/>
      </c>
      <c r="H37" s="329" t="str">
        <f>IF(FORGE!T12="","",FORGE!T12)</f>
        <v/>
      </c>
      <c r="I37" s="329" t="str">
        <f>IF(FORGE!Z12="","",FORGE!Z12)</f>
        <v/>
      </c>
      <c r="J37" s="329" t="str">
        <f>IF(FORGE!AE12="","",FORGE!AE12)</f>
        <v/>
      </c>
    </row>
    <row r="38" spans="1:10" ht="15" customHeight="1" x14ac:dyDescent="0.25">
      <c r="A38" s="317" t="str">
        <f>IF(FORGE!B13="","",FORGE!B13)</f>
        <v/>
      </c>
      <c r="B38" s="329" t="str">
        <f>IF(FORGE!H13="","",FORGE!H13)</f>
        <v/>
      </c>
      <c r="C38" s="329" t="str">
        <f>IF(FORGE!K13="","",FORGE!K13)</f>
        <v/>
      </c>
      <c r="D38" s="318">
        <f>IF(FORGE!L13="","",FORGE!L13)</f>
        <v>0</v>
      </c>
      <c r="E38" s="318">
        <f>IF(FORGE!N13="","",FORGE!N13)</f>
        <v>0</v>
      </c>
      <c r="F38" s="329" t="str">
        <f>IF(FORGE!O13="","",FORGE!O13)</f>
        <v/>
      </c>
      <c r="G38" s="329" t="str">
        <f>IF(FORGE!P13="","",FORGE!P13)</f>
        <v/>
      </c>
      <c r="H38" s="329" t="str">
        <f>IF(FORGE!T13="","",FORGE!T13)</f>
        <v/>
      </c>
      <c r="I38" s="329" t="str">
        <f>IF(FORGE!Z13="","",FORGE!Z13)</f>
        <v/>
      </c>
      <c r="J38" s="329" t="str">
        <f>IF(FORGE!AE13="","",FORGE!AE13)</f>
        <v/>
      </c>
    </row>
    <row r="39" spans="1:10" ht="15" customHeight="1" x14ac:dyDescent="0.25">
      <c r="A39" s="317" t="str">
        <f>IF(FORGE!B14="","",FORGE!B14)</f>
        <v/>
      </c>
      <c r="B39" s="329" t="str">
        <f>IF(FORGE!H14="","",FORGE!H14)</f>
        <v/>
      </c>
      <c r="C39" s="329" t="str">
        <f>IF(FORGE!K14="","",FORGE!K14)</f>
        <v/>
      </c>
      <c r="D39" s="318">
        <f>IF(FORGE!L14="","",FORGE!L14)</f>
        <v>0</v>
      </c>
      <c r="E39" s="318">
        <f>IF(FORGE!N14="","",FORGE!N14)</f>
        <v>0</v>
      </c>
      <c r="F39" s="329" t="str">
        <f>IF(FORGE!O14="","",FORGE!O14)</f>
        <v/>
      </c>
      <c r="G39" s="329" t="str">
        <f>IF(FORGE!P14="","",FORGE!P14)</f>
        <v/>
      </c>
      <c r="H39" s="329" t="str">
        <f>IF(FORGE!T14="","",FORGE!T14)</f>
        <v/>
      </c>
      <c r="I39" s="329" t="str">
        <f>IF(FORGE!Z14="","",FORGE!Z14)</f>
        <v/>
      </c>
      <c r="J39" s="329" t="str">
        <f>IF(FORGE!AE14="","",FORGE!AE14)</f>
        <v/>
      </c>
    </row>
    <row r="40" spans="1:10" ht="15" customHeight="1" x14ac:dyDescent="0.25">
      <c r="A40" s="317" t="str">
        <f>IF(FORGE!B15="","",FORGE!B15)</f>
        <v/>
      </c>
      <c r="B40" s="329" t="str">
        <f>IF(FORGE!H15="","",FORGE!H15)</f>
        <v/>
      </c>
      <c r="C40" s="329" t="str">
        <f>IF(FORGE!K15="","",FORGE!K15)</f>
        <v/>
      </c>
      <c r="D40" s="318">
        <f>IF(FORGE!L15="","",FORGE!L15)</f>
        <v>0</v>
      </c>
      <c r="E40" s="318">
        <f>IF(FORGE!N15="","",FORGE!N15)</f>
        <v>0</v>
      </c>
      <c r="F40" s="329" t="str">
        <f>IF(FORGE!O15="","",FORGE!O15)</f>
        <v/>
      </c>
      <c r="G40" s="329" t="str">
        <f>IF(FORGE!P15="","",FORGE!P15)</f>
        <v/>
      </c>
      <c r="H40" s="329" t="str">
        <f>IF(FORGE!T15="","",FORGE!T15)</f>
        <v/>
      </c>
      <c r="I40" s="329" t="str">
        <f>IF(FORGE!Z15="","",FORGE!Z15)</f>
        <v/>
      </c>
      <c r="J40" s="329" t="str">
        <f>IF(FORGE!AE15="","",FORGE!AE15)</f>
        <v/>
      </c>
    </row>
  </sheetData>
  <mergeCells count="1">
    <mergeCell ref="A29:J29"/>
  </mergeCells>
  <pageMargins left="0.75" right="0.75" top="1" bottom="1" header="0.511811023622047" footer="0.511811023622047"/>
  <pageSetup fitToHeight="0"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J25"/>
  <sheetViews>
    <sheetView zoomScaleNormal="100" workbookViewId="0"/>
  </sheetViews>
  <sheetFormatPr defaultColWidth="8.7109375" defaultRowHeight="15" x14ac:dyDescent="0.25"/>
  <cols>
    <col min="1" max="1" width="5.42578125" customWidth="1"/>
    <col min="2" max="2" width="23.42578125" customWidth="1"/>
    <col min="3" max="3" width="51.85546875" customWidth="1"/>
    <col min="4" max="4" width="22.85546875" customWidth="1"/>
    <col min="5" max="5" width="10.42578125" customWidth="1"/>
    <col min="6" max="6" width="0.140625" customWidth="1"/>
  </cols>
  <sheetData>
    <row r="2" spans="2:10" ht="12.75" customHeight="1" x14ac:dyDescent="0.25">
      <c r="B2" s="442" t="s">
        <v>917</v>
      </c>
      <c r="C2" s="443" t="s">
        <v>918</v>
      </c>
      <c r="D2" s="338"/>
      <c r="E2" s="224"/>
      <c r="F2" s="224"/>
      <c r="G2" s="224"/>
      <c r="H2" s="224"/>
      <c r="I2" s="224"/>
      <c r="J2" s="224"/>
    </row>
    <row r="3" spans="2:10" ht="12.75" customHeight="1" x14ac:dyDescent="0.25">
      <c r="B3" s="442"/>
      <c r="C3" s="443"/>
      <c r="D3" s="339"/>
      <c r="E3" s="224"/>
      <c r="F3" s="340">
        <f ca="1">IF(ValidationDate&gt;0,ValidationDate,NOW())</f>
        <v>46121.767555092592</v>
      </c>
      <c r="G3" s="224">
        <f ca="1">IF(LastRMC&lt;=NOW(),LastRMC,0)</f>
        <v>0</v>
      </c>
      <c r="H3" s="224">
        <f ca="1">EDATE(F3,-3)</f>
        <v>46031</v>
      </c>
      <c r="I3" s="224">
        <f ca="1">IF(G3&gt;=H3,1,IF(G3&gt;=EDATE(H3,-3),2,3))</f>
        <v>3</v>
      </c>
      <c r="J3" s="224"/>
    </row>
    <row r="4" spans="2:10" ht="12.75" customHeight="1" x14ac:dyDescent="0.25">
      <c r="B4" s="442"/>
      <c r="C4" s="443"/>
      <c r="D4" s="339"/>
      <c r="E4" s="224"/>
      <c r="F4" s="224"/>
      <c r="G4" s="224"/>
      <c r="H4" s="224"/>
      <c r="I4" s="224"/>
      <c r="J4" s="224"/>
    </row>
    <row r="5" spans="2:10" ht="12.75" customHeight="1" x14ac:dyDescent="0.25">
      <c r="B5" s="442"/>
      <c r="C5" s="443"/>
      <c r="D5" s="339"/>
      <c r="E5" s="224"/>
      <c r="F5" s="224"/>
      <c r="G5" s="224"/>
      <c r="H5" s="224"/>
      <c r="I5" s="224"/>
      <c r="J5" s="224"/>
    </row>
    <row r="6" spans="2:10" ht="12.75" customHeight="1" x14ac:dyDescent="0.25">
      <c r="B6" s="442"/>
      <c r="C6" s="443"/>
      <c r="D6" s="339"/>
      <c r="E6" s="224"/>
      <c r="F6" s="224"/>
      <c r="G6" s="224"/>
      <c r="H6" s="224"/>
      <c r="I6" s="224"/>
      <c r="J6" s="224"/>
    </row>
    <row r="7" spans="2:10" ht="13.5" customHeight="1" x14ac:dyDescent="0.25">
      <c r="B7" s="442"/>
      <c r="C7" s="443"/>
      <c r="D7" s="341"/>
      <c r="E7" s="224"/>
      <c r="F7" s="224"/>
      <c r="G7" s="224"/>
      <c r="H7" s="224"/>
      <c r="I7" s="224"/>
      <c r="J7" s="224"/>
    </row>
    <row r="8" spans="2:10" ht="12.75" customHeight="1" x14ac:dyDescent="0.25">
      <c r="B8" s="442" t="s">
        <v>919</v>
      </c>
      <c r="C8" s="443" t="s">
        <v>920</v>
      </c>
      <c r="D8" s="338"/>
      <c r="E8" s="224"/>
      <c r="F8" s="224"/>
      <c r="G8" s="224"/>
      <c r="H8" s="224"/>
      <c r="I8" s="224"/>
      <c r="J8" s="224"/>
    </row>
    <row r="9" spans="2:10" ht="12.75" customHeight="1" x14ac:dyDescent="0.25">
      <c r="B9" s="442"/>
      <c r="C9" s="443"/>
      <c r="D9" s="339"/>
      <c r="E9" s="224"/>
      <c r="F9" s="224">
        <f>'Top 10 Risks'!D59</f>
        <v>0</v>
      </c>
      <c r="G9" s="224">
        <f>'Top 10 Risks'!F59</f>
        <v>0</v>
      </c>
      <c r="H9" s="224">
        <f>F9-G9</f>
        <v>0</v>
      </c>
      <c r="I9" s="224">
        <f>F9</f>
        <v>0</v>
      </c>
      <c r="J9" s="224"/>
    </row>
    <row r="10" spans="2:10" ht="12.75" customHeight="1" x14ac:dyDescent="0.25">
      <c r="B10" s="442"/>
      <c r="C10" s="443"/>
      <c r="D10" s="339"/>
      <c r="E10" s="224"/>
      <c r="F10" s="224"/>
      <c r="G10" s="224"/>
      <c r="H10" s="224"/>
      <c r="I10" s="224"/>
      <c r="J10" s="224"/>
    </row>
    <row r="11" spans="2:10" ht="12.75" customHeight="1" x14ac:dyDescent="0.25">
      <c r="B11" s="442"/>
      <c r="C11" s="443"/>
      <c r="D11" s="339"/>
      <c r="E11" s="224"/>
      <c r="F11" s="224"/>
      <c r="G11" s="224"/>
      <c r="H11" s="224"/>
      <c r="I11" s="224"/>
      <c r="J11" s="224"/>
    </row>
    <row r="12" spans="2:10" ht="12.75" customHeight="1" x14ac:dyDescent="0.25">
      <c r="B12" s="442"/>
      <c r="C12" s="443"/>
      <c r="D12" s="342">
        <f>IFERROR(G9/F9,0)</f>
        <v>0</v>
      </c>
      <c r="E12" s="224"/>
      <c r="F12" s="224"/>
      <c r="G12" s="224"/>
      <c r="H12" s="224"/>
      <c r="I12" s="224"/>
      <c r="J12" s="224"/>
    </row>
    <row r="13" spans="2:10" ht="13.5" customHeight="1" x14ac:dyDescent="0.25">
      <c r="B13" s="442"/>
      <c r="C13" s="443"/>
      <c r="D13" s="343"/>
      <c r="E13" s="224"/>
      <c r="F13" s="224"/>
      <c r="G13" s="224"/>
      <c r="H13" s="224"/>
      <c r="I13" s="224"/>
      <c r="J13" s="224"/>
    </row>
    <row r="14" spans="2:10" ht="12.75" customHeight="1" x14ac:dyDescent="0.25">
      <c r="B14" s="442"/>
      <c r="C14" s="443" t="s">
        <v>921</v>
      </c>
      <c r="D14" s="338"/>
      <c r="E14" s="224"/>
      <c r="F14" s="224"/>
      <c r="G14" s="224"/>
      <c r="H14" s="224"/>
      <c r="I14" s="224"/>
      <c r="J14" s="224"/>
    </row>
    <row r="15" spans="2:10" ht="12.75" customHeight="1" x14ac:dyDescent="0.25">
      <c r="B15" s="442"/>
      <c r="C15" s="443"/>
      <c r="D15" s="339"/>
      <c r="E15" s="224"/>
      <c r="F15" s="224">
        <f>'Top 10 Risks'!D59</f>
        <v>0</v>
      </c>
      <c r="G15" s="224">
        <f>COUNTIF('Top 10 Risks (Page 2)'!E9:E58,"&gt;0")</f>
        <v>0</v>
      </c>
      <c r="H15" s="224">
        <f>F15-G15</f>
        <v>0</v>
      </c>
      <c r="I15" s="224">
        <f>F15</f>
        <v>0</v>
      </c>
      <c r="J15" s="224"/>
    </row>
    <row r="16" spans="2:10" ht="12.75" customHeight="1" x14ac:dyDescent="0.25">
      <c r="B16" s="442"/>
      <c r="C16" s="443"/>
      <c r="D16" s="339"/>
      <c r="E16" s="224"/>
      <c r="F16" s="224"/>
      <c r="G16" s="224"/>
      <c r="H16" s="224"/>
      <c r="I16" s="224"/>
      <c r="J16" s="224"/>
    </row>
    <row r="17" spans="2:9" ht="12.75" customHeight="1" x14ac:dyDescent="0.25">
      <c r="B17" s="442"/>
      <c r="C17" s="443"/>
      <c r="D17" s="339"/>
      <c r="E17" s="224"/>
      <c r="F17" s="224"/>
      <c r="G17" s="224"/>
      <c r="H17" s="224"/>
      <c r="I17" s="224"/>
    </row>
    <row r="18" spans="2:9" ht="12.75" customHeight="1" x14ac:dyDescent="0.25">
      <c r="B18" s="442"/>
      <c r="C18" s="443"/>
      <c r="D18" s="342">
        <f>IFERROR(G15/F15,0)</f>
        <v>0</v>
      </c>
      <c r="E18" s="224"/>
      <c r="F18" s="224"/>
      <c r="G18" s="224"/>
      <c r="H18" s="224"/>
      <c r="I18" s="224"/>
    </row>
    <row r="19" spans="2:9" ht="13.5" customHeight="1" x14ac:dyDescent="0.25">
      <c r="B19" s="442"/>
      <c r="C19" s="443"/>
      <c r="D19" s="343"/>
      <c r="E19" s="224"/>
      <c r="F19" s="224"/>
      <c r="G19" s="224"/>
      <c r="H19" s="224"/>
      <c r="I19" s="224"/>
    </row>
    <row r="20" spans="2:9" ht="12.75" customHeight="1" x14ac:dyDescent="0.25">
      <c r="B20" s="442"/>
      <c r="C20" s="443" t="s">
        <v>922</v>
      </c>
      <c r="D20" s="338"/>
      <c r="E20" s="224"/>
      <c r="F20" s="224"/>
      <c r="G20" s="224"/>
      <c r="H20" s="224"/>
      <c r="I20" s="224"/>
    </row>
    <row r="21" spans="2:9" ht="12.75" customHeight="1" x14ac:dyDescent="0.25">
      <c r="B21" s="442"/>
      <c r="C21" s="443"/>
      <c r="D21" s="339"/>
      <c r="E21" s="224"/>
      <c r="F21" s="224">
        <f>'Top 10 Risks'!D59</f>
        <v>0</v>
      </c>
      <c r="G21" s="224">
        <f ca="1">COUNTIF(RiskList!W2:W51,TRUE())</f>
        <v>0</v>
      </c>
      <c r="H21" s="224">
        <f ca="1">F21-G21</f>
        <v>0</v>
      </c>
      <c r="I21" s="224">
        <f>F21</f>
        <v>0</v>
      </c>
    </row>
    <row r="22" spans="2:9" ht="12.75" customHeight="1" x14ac:dyDescent="0.25">
      <c r="B22" s="442"/>
      <c r="C22" s="443"/>
      <c r="D22" s="339"/>
      <c r="E22" s="224"/>
      <c r="F22" s="224"/>
      <c r="G22" s="224"/>
      <c r="H22" s="224"/>
      <c r="I22" s="224"/>
    </row>
    <row r="23" spans="2:9" ht="12.75" customHeight="1" x14ac:dyDescent="0.25">
      <c r="B23" s="442"/>
      <c r="C23" s="443"/>
      <c r="D23" s="339"/>
      <c r="E23" s="224"/>
      <c r="F23" s="224"/>
      <c r="G23" s="224"/>
      <c r="H23" s="224"/>
      <c r="I23" s="224"/>
    </row>
    <row r="24" spans="2:9" ht="12.75" customHeight="1" x14ac:dyDescent="0.25">
      <c r="B24" s="442"/>
      <c r="C24" s="443"/>
      <c r="D24" s="342">
        <f ca="1">IFERROR(G21/F21,0)</f>
        <v>0</v>
      </c>
      <c r="E24" s="224"/>
      <c r="F24" s="224"/>
      <c r="G24" s="224"/>
      <c r="H24" s="224"/>
      <c r="I24" s="224"/>
    </row>
    <row r="25" spans="2:9" ht="13.5" customHeight="1" x14ac:dyDescent="0.25">
      <c r="B25" s="442"/>
      <c r="C25" s="443"/>
      <c r="D25" s="343"/>
      <c r="E25" s="224"/>
      <c r="F25" s="224"/>
      <c r="G25" s="224"/>
      <c r="H25" s="224"/>
      <c r="I25" s="224"/>
    </row>
  </sheetData>
  <mergeCells count="6">
    <mergeCell ref="B2:B7"/>
    <mergeCell ref="C2:C7"/>
    <mergeCell ref="B8:B25"/>
    <mergeCell ref="C8:C13"/>
    <mergeCell ref="C14:C19"/>
    <mergeCell ref="C20:C25"/>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I14"/>
  <sheetViews>
    <sheetView zoomScaleNormal="100" workbookViewId="0"/>
  </sheetViews>
  <sheetFormatPr defaultColWidth="8.7109375" defaultRowHeight="15" x14ac:dyDescent="0.25"/>
  <cols>
    <col min="1" max="1" width="1.7109375" customWidth="1"/>
    <col min="5" max="5" width="1.7109375" customWidth="1"/>
    <col min="6" max="6" width="17.28515625" customWidth="1"/>
    <col min="7" max="7" width="22" customWidth="1"/>
    <col min="8" max="8" width="24.85546875" customWidth="1"/>
    <col min="9" max="9" width="16.28515625" customWidth="1"/>
    <col min="10" max="10" width="1.7109375" customWidth="1"/>
  </cols>
  <sheetData>
    <row r="1" spans="2:9" ht="9" customHeight="1" x14ac:dyDescent="0.25"/>
    <row r="2" spans="2:9" ht="15" customHeight="1" x14ac:dyDescent="0.25">
      <c r="B2" s="444" t="s">
        <v>923</v>
      </c>
      <c r="C2" s="444"/>
      <c r="D2" s="444"/>
      <c r="F2" s="344" t="s">
        <v>924</v>
      </c>
      <c r="G2" s="345">
        <f>'Risk Thresholds'!I10</f>
        <v>30</v>
      </c>
    </row>
    <row r="3" spans="2:9" ht="15" customHeight="1" x14ac:dyDescent="0.25">
      <c r="B3" s="346" t="s">
        <v>420</v>
      </c>
      <c r="C3" s="347" t="s">
        <v>421</v>
      </c>
      <c r="D3" s="348" t="s">
        <v>422</v>
      </c>
      <c r="F3" s="344" t="s">
        <v>925</v>
      </c>
      <c r="G3" s="349">
        <f>CriticalThreshold^(1/4)</f>
        <v>2.340347319320716</v>
      </c>
    </row>
    <row r="4" spans="2:9" ht="15" customHeight="1" x14ac:dyDescent="0.25">
      <c r="B4" s="350">
        <v>1</v>
      </c>
      <c r="C4" s="280">
        <v>0</v>
      </c>
      <c r="D4" s="351">
        <f>'Risk Thresholds'!O8</f>
        <v>0.1</v>
      </c>
    </row>
    <row r="5" spans="2:9" ht="15" customHeight="1" x14ac:dyDescent="0.25">
      <c r="B5" s="350">
        <v>2</v>
      </c>
      <c r="C5" s="280">
        <f>D4</f>
        <v>0.1</v>
      </c>
      <c r="D5" s="351">
        <f>'Risk Thresholds'!O9</f>
        <v>0.3</v>
      </c>
    </row>
    <row r="6" spans="2:9" ht="15" customHeight="1" x14ac:dyDescent="0.25">
      <c r="B6" s="350">
        <v>3</v>
      </c>
      <c r="C6" s="280">
        <f>D5</f>
        <v>0.3</v>
      </c>
      <c r="D6" s="351">
        <f>'Risk Thresholds'!O10</f>
        <v>0.5</v>
      </c>
      <c r="H6" s="344" t="s">
        <v>926</v>
      </c>
      <c r="I6" s="352">
        <v>0.1</v>
      </c>
    </row>
    <row r="7" spans="2:9" ht="15" customHeight="1" x14ac:dyDescent="0.25">
      <c r="B7" s="350">
        <v>4</v>
      </c>
      <c r="C7" s="280">
        <f>D6</f>
        <v>0.5</v>
      </c>
      <c r="D7" s="351">
        <f>'Risk Thresholds'!O11</f>
        <v>0.9</v>
      </c>
    </row>
    <row r="8" spans="2:9" ht="15" customHeight="1" x14ac:dyDescent="0.25">
      <c r="B8" s="353">
        <v>5</v>
      </c>
      <c r="C8" s="354">
        <f>D7</f>
        <v>0.9</v>
      </c>
      <c r="D8" s="355">
        <v>1</v>
      </c>
    </row>
    <row r="9" spans="2:9" ht="15" customHeight="1" x14ac:dyDescent="0.25">
      <c r="B9" s="346" t="s">
        <v>927</v>
      </c>
      <c r="C9" s="347" t="s">
        <v>928</v>
      </c>
      <c r="D9" s="348" t="s">
        <v>929</v>
      </c>
      <c r="F9" s="279" t="s">
        <v>930</v>
      </c>
      <c r="G9" s="279" t="s">
        <v>931</v>
      </c>
      <c r="H9" s="279" t="s">
        <v>932</v>
      </c>
      <c r="I9" s="279" t="s">
        <v>933</v>
      </c>
    </row>
    <row r="10" spans="2:9" ht="15" customHeight="1" x14ac:dyDescent="0.25">
      <c r="B10" s="350">
        <v>1</v>
      </c>
      <c r="C10" s="283">
        <v>0</v>
      </c>
      <c r="D10" s="356">
        <f>I10</f>
        <v>2</v>
      </c>
      <c r="F10" s="349">
        <f>LogarithmBase^B10</f>
        <v>2.340347319320716</v>
      </c>
      <c r="G10" s="357">
        <f>LOG(F10,10)</f>
        <v>0.36928031367991559</v>
      </c>
      <c r="H10" s="357">
        <f>INT(G10)</f>
        <v>0</v>
      </c>
      <c r="I10" s="358">
        <f>ROUND(F10,-H10)</f>
        <v>2</v>
      </c>
    </row>
    <row r="11" spans="2:9" ht="15" customHeight="1" x14ac:dyDescent="0.25">
      <c r="B11" s="350">
        <v>2</v>
      </c>
      <c r="C11" s="283">
        <f>D10</f>
        <v>2</v>
      </c>
      <c r="D11" s="356">
        <f>I11</f>
        <v>5</v>
      </c>
      <c r="F11" s="349">
        <f>LogarithmBase^B11</f>
        <v>5.4772255750516621</v>
      </c>
      <c r="G11" s="357">
        <f>LOG(F11,10)</f>
        <v>0.7385606273598313</v>
      </c>
      <c r="H11" s="357">
        <f>INT(G11)</f>
        <v>0</v>
      </c>
      <c r="I11" s="358">
        <f>ROUND(F11,-H11)</f>
        <v>5</v>
      </c>
    </row>
    <row r="12" spans="2:9" ht="15" customHeight="1" x14ac:dyDescent="0.25">
      <c r="B12" s="350">
        <v>3</v>
      </c>
      <c r="C12" s="283">
        <f>D11</f>
        <v>5</v>
      </c>
      <c r="D12" s="356">
        <f>I12</f>
        <v>10</v>
      </c>
      <c r="F12" s="349">
        <f>LogarithmBase^B12</f>
        <v>12.818610191887025</v>
      </c>
      <c r="G12" s="357">
        <f>LOG(F12,10)</f>
        <v>1.107840941039747</v>
      </c>
      <c r="H12" s="357">
        <f>INT(G12)</f>
        <v>1</v>
      </c>
      <c r="I12" s="358">
        <f>ROUND(F12,-H12)</f>
        <v>10</v>
      </c>
    </row>
    <row r="13" spans="2:9" ht="15" customHeight="1" x14ac:dyDescent="0.25">
      <c r="B13" s="350">
        <v>4</v>
      </c>
      <c r="C13" s="283">
        <f>D12</f>
        <v>10</v>
      </c>
      <c r="D13" s="356">
        <f>I13</f>
        <v>30</v>
      </c>
      <c r="F13" s="349">
        <f>LogarithmBase^B13</f>
        <v>30.000000000000011</v>
      </c>
      <c r="G13" s="357">
        <f>LOG(F13,10)</f>
        <v>1.4771212547196626</v>
      </c>
      <c r="H13" s="357">
        <f>INT(G13)</f>
        <v>1</v>
      </c>
      <c r="I13" s="359">
        <f>IF(CriticalThreshold&lt;100,ROUND(F13,-H13),ROUND(F13,-H13+1))</f>
        <v>30</v>
      </c>
    </row>
    <row r="14" spans="2:9" ht="15" customHeight="1" x14ac:dyDescent="0.25">
      <c r="B14" s="353">
        <v>5</v>
      </c>
      <c r="C14" s="360">
        <f>D13</f>
        <v>30</v>
      </c>
      <c r="D14" s="361">
        <f>I14</f>
        <v>70</v>
      </c>
      <c r="F14" s="349">
        <f>LogarithmBase^B14</f>
        <v>70.210419579621501</v>
      </c>
      <c r="G14" s="357">
        <f>LOG(F14,10)</f>
        <v>1.846401568399578</v>
      </c>
      <c r="H14" s="357">
        <f>INT(G14)</f>
        <v>1</v>
      </c>
      <c r="I14" s="358">
        <f>ROUND(F14,-H14)</f>
        <v>70</v>
      </c>
    </row>
  </sheetData>
  <mergeCells count="1">
    <mergeCell ref="B2:D2"/>
  </mergeCell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5"/>
  <sheetViews>
    <sheetView zoomScaleNormal="100" workbookViewId="0">
      <selection activeCell="D41" sqref="D41"/>
    </sheetView>
  </sheetViews>
  <sheetFormatPr defaultColWidth="8.7109375" defaultRowHeight="15" x14ac:dyDescent="0.25"/>
  <cols>
    <col min="1" max="1" width="36.42578125" customWidth="1"/>
    <col min="2" max="2" width="25.5703125" customWidth="1"/>
    <col min="3" max="3" width="27.140625" customWidth="1"/>
    <col min="4" max="4" width="6.5703125" customWidth="1"/>
    <col min="5" max="5" width="33.7109375" customWidth="1"/>
    <col min="6" max="6" width="8" customWidth="1"/>
  </cols>
  <sheetData>
    <row r="1" spans="1:10" ht="15" customHeight="1" x14ac:dyDescent="0.25">
      <c r="A1" s="362" t="s">
        <v>934</v>
      </c>
      <c r="B1" s="362" t="s">
        <v>935</v>
      </c>
      <c r="C1" s="362" t="s">
        <v>936</v>
      </c>
      <c r="E1" s="362" t="s">
        <v>937</v>
      </c>
      <c r="G1" s="21" t="s">
        <v>938</v>
      </c>
    </row>
    <row r="2" spans="1:10" ht="15" customHeight="1" x14ac:dyDescent="0.25">
      <c r="A2" s="363" t="s">
        <v>939</v>
      </c>
      <c r="B2" s="21" t="s">
        <v>940</v>
      </c>
      <c r="C2" s="21" t="s">
        <v>941</v>
      </c>
      <c r="E2" s="362"/>
      <c r="G2" s="21" t="str">
        <f t="shared" ref="G2:G25" si="0">CHAR(ROW()+63)</f>
        <v>A</v>
      </c>
      <c r="H2" s="21" t="str">
        <f t="shared" ref="H2:H25" si="1">G$2&amp;INDEX(G$2:G$27,ROW()-1)</f>
        <v>AA</v>
      </c>
      <c r="I2" s="21">
        <f t="shared" ref="I2:I25" si="2">IF(MOD(ROW()-1,26)=0,26,MOD(ROW()-1,26))</f>
        <v>1</v>
      </c>
      <c r="J2" s="21">
        <f t="shared" ref="J2:J25" si="3">CEILING((ROW()-1)/26,1)</f>
        <v>1</v>
      </c>
    </row>
    <row r="3" spans="1:10" ht="15" customHeight="1" x14ac:dyDescent="0.25">
      <c r="A3" s="363" t="s">
        <v>942</v>
      </c>
      <c r="B3" s="21" t="s">
        <v>943</v>
      </c>
      <c r="C3" s="21" t="s">
        <v>944</v>
      </c>
      <c r="E3" s="21" t="s">
        <v>945</v>
      </c>
      <c r="G3" s="21" t="str">
        <f t="shared" si="0"/>
        <v>B</v>
      </c>
      <c r="H3" s="21" t="str">
        <f t="shared" si="1"/>
        <v>AB</v>
      </c>
      <c r="I3" s="21">
        <f t="shared" si="2"/>
        <v>2</v>
      </c>
      <c r="J3" s="21">
        <f t="shared" si="3"/>
        <v>1</v>
      </c>
    </row>
    <row r="4" spans="1:10" ht="15" customHeight="1" x14ac:dyDescent="0.25">
      <c r="A4" s="363" t="s">
        <v>946</v>
      </c>
      <c r="B4" s="21" t="s">
        <v>947</v>
      </c>
      <c r="C4" s="21" t="s">
        <v>948</v>
      </c>
      <c r="E4" s="21" t="s">
        <v>949</v>
      </c>
      <c r="G4" s="21" t="str">
        <f t="shared" si="0"/>
        <v>C</v>
      </c>
      <c r="H4" s="21" t="str">
        <f t="shared" si="1"/>
        <v>AC</v>
      </c>
      <c r="I4" s="21">
        <f t="shared" si="2"/>
        <v>3</v>
      </c>
      <c r="J4" s="21">
        <f t="shared" si="3"/>
        <v>1</v>
      </c>
    </row>
    <row r="5" spans="1:10" ht="15" customHeight="1" x14ac:dyDescent="0.25">
      <c r="A5" s="363" t="s">
        <v>950</v>
      </c>
      <c r="B5" s="21" t="s">
        <v>951</v>
      </c>
      <c r="C5" s="21" t="s">
        <v>952</v>
      </c>
      <c r="E5" s="21" t="s">
        <v>953</v>
      </c>
      <c r="G5" s="21" t="str">
        <f t="shared" si="0"/>
        <v>D</v>
      </c>
      <c r="H5" s="21" t="str">
        <f t="shared" si="1"/>
        <v>AD</v>
      </c>
      <c r="I5" s="21">
        <f t="shared" si="2"/>
        <v>4</v>
      </c>
      <c r="J5" s="21">
        <f t="shared" si="3"/>
        <v>1</v>
      </c>
    </row>
    <row r="6" spans="1:10" ht="15" customHeight="1" x14ac:dyDescent="0.25">
      <c r="A6" s="364"/>
      <c r="C6" s="21" t="s">
        <v>954</v>
      </c>
      <c r="E6" s="21" t="s">
        <v>955</v>
      </c>
      <c r="G6" s="21" t="str">
        <f t="shared" si="0"/>
        <v>E</v>
      </c>
      <c r="H6" s="21" t="str">
        <f t="shared" si="1"/>
        <v>AE</v>
      </c>
      <c r="I6" s="21">
        <f t="shared" si="2"/>
        <v>5</v>
      </c>
      <c r="J6" s="21">
        <f t="shared" si="3"/>
        <v>1</v>
      </c>
    </row>
    <row r="7" spans="1:10" ht="15" customHeight="1" x14ac:dyDescent="0.25">
      <c r="A7" s="364"/>
      <c r="C7" s="21" t="s">
        <v>956</v>
      </c>
      <c r="E7" s="21" t="s">
        <v>957</v>
      </c>
      <c r="G7" s="21" t="str">
        <f t="shared" si="0"/>
        <v>F</v>
      </c>
      <c r="H7" s="21" t="str">
        <f t="shared" si="1"/>
        <v>AF</v>
      </c>
      <c r="I7" s="21">
        <f t="shared" si="2"/>
        <v>6</v>
      </c>
      <c r="J7" s="21">
        <f t="shared" si="3"/>
        <v>1</v>
      </c>
    </row>
    <row r="8" spans="1:10" ht="15" customHeight="1" x14ac:dyDescent="0.25">
      <c r="C8" s="21" t="s">
        <v>958</v>
      </c>
      <c r="E8" s="21" t="s">
        <v>959</v>
      </c>
      <c r="G8" s="21" t="str">
        <f t="shared" si="0"/>
        <v>G</v>
      </c>
      <c r="H8" s="21" t="str">
        <f t="shared" si="1"/>
        <v>AG</v>
      </c>
      <c r="I8" s="21">
        <f t="shared" si="2"/>
        <v>7</v>
      </c>
      <c r="J8" s="21">
        <f t="shared" si="3"/>
        <v>1</v>
      </c>
    </row>
    <row r="9" spans="1:10" ht="15" customHeight="1" x14ac:dyDescent="0.25">
      <c r="E9" s="362"/>
      <c r="G9" s="21" t="str">
        <f t="shared" si="0"/>
        <v>H</v>
      </c>
      <c r="H9" s="21" t="str">
        <f t="shared" si="1"/>
        <v>AH</v>
      </c>
      <c r="I9" s="21">
        <f t="shared" si="2"/>
        <v>8</v>
      </c>
      <c r="J9" s="21">
        <f t="shared" si="3"/>
        <v>1</v>
      </c>
    </row>
    <row r="10" spans="1:10" ht="15" customHeight="1" x14ac:dyDescent="0.25">
      <c r="E10" s="21" t="str">
        <f>INDEX(Timeframe,Header!D12,1)</f>
        <v>2026Q2</v>
      </c>
      <c r="G10" s="21" t="str">
        <f t="shared" si="0"/>
        <v>I</v>
      </c>
      <c r="H10" s="21" t="str">
        <f t="shared" si="1"/>
        <v>AI</v>
      </c>
      <c r="I10" s="21">
        <f t="shared" si="2"/>
        <v>9</v>
      </c>
      <c r="J10" s="21">
        <f t="shared" si="3"/>
        <v>1</v>
      </c>
    </row>
    <row r="11" spans="1:10" ht="15" customHeight="1" x14ac:dyDescent="0.25">
      <c r="G11" s="21" t="str">
        <f t="shared" si="0"/>
        <v>J</v>
      </c>
      <c r="H11" s="21" t="str">
        <f t="shared" si="1"/>
        <v>AJ</v>
      </c>
      <c r="I11" s="21">
        <f t="shared" si="2"/>
        <v>10</v>
      </c>
      <c r="J11" s="21">
        <f t="shared" si="3"/>
        <v>1</v>
      </c>
    </row>
    <row r="12" spans="1:10" ht="15" customHeight="1" x14ac:dyDescent="0.25">
      <c r="E12" s="362" t="s">
        <v>960</v>
      </c>
      <c r="G12" s="21" t="str">
        <f t="shared" si="0"/>
        <v>K</v>
      </c>
      <c r="H12" s="21" t="str">
        <f t="shared" si="1"/>
        <v>AK</v>
      </c>
      <c r="I12" s="21">
        <f t="shared" si="2"/>
        <v>11</v>
      </c>
      <c r="J12" s="21">
        <f t="shared" si="3"/>
        <v>1</v>
      </c>
    </row>
    <row r="13" spans="1:10" ht="15" customHeight="1" x14ac:dyDescent="0.25">
      <c r="E13" s="21" t="s">
        <v>961</v>
      </c>
      <c r="G13" s="21" t="str">
        <f t="shared" si="0"/>
        <v>L</v>
      </c>
      <c r="H13" s="21" t="str">
        <f t="shared" si="1"/>
        <v>AL</v>
      </c>
      <c r="I13" s="21">
        <f t="shared" si="2"/>
        <v>12</v>
      </c>
      <c r="J13" s="21">
        <f t="shared" si="3"/>
        <v>1</v>
      </c>
    </row>
    <row r="14" spans="1:10" ht="15" customHeight="1" x14ac:dyDescent="0.25">
      <c r="A14" s="364"/>
      <c r="E14" s="21" t="s">
        <v>962</v>
      </c>
      <c r="G14" s="21" t="str">
        <f t="shared" si="0"/>
        <v>M</v>
      </c>
      <c r="H14" s="21" t="str">
        <f t="shared" si="1"/>
        <v>AM</v>
      </c>
      <c r="I14" s="21">
        <f t="shared" si="2"/>
        <v>13</v>
      </c>
      <c r="J14" s="21">
        <f t="shared" si="3"/>
        <v>1</v>
      </c>
    </row>
    <row r="15" spans="1:10" ht="15" customHeight="1" x14ac:dyDescent="0.25">
      <c r="A15" s="364"/>
      <c r="E15" s="21" t="s">
        <v>963</v>
      </c>
      <c r="G15" s="21" t="str">
        <f t="shared" si="0"/>
        <v>N</v>
      </c>
      <c r="H15" s="21" t="str">
        <f t="shared" si="1"/>
        <v>AN</v>
      </c>
      <c r="I15" s="21">
        <f t="shared" si="2"/>
        <v>14</v>
      </c>
      <c r="J15" s="21">
        <f t="shared" si="3"/>
        <v>1</v>
      </c>
    </row>
    <row r="16" spans="1:10" ht="15" customHeight="1" x14ac:dyDescent="0.25">
      <c r="E16" s="362" t="s">
        <v>964</v>
      </c>
      <c r="G16" s="21" t="str">
        <f t="shared" si="0"/>
        <v>O</v>
      </c>
      <c r="H16" s="21" t="str">
        <f t="shared" si="1"/>
        <v>AO</v>
      </c>
      <c r="I16" s="21">
        <f t="shared" si="2"/>
        <v>15</v>
      </c>
      <c r="J16" s="21">
        <f t="shared" si="3"/>
        <v>1</v>
      </c>
    </row>
    <row r="17" spans="5:10" ht="15" customHeight="1" x14ac:dyDescent="0.25">
      <c r="E17" s="21" t="str">
        <f>INDEX(timehorizon,Objectives!G8,1)</f>
        <v>next 3 - 5 years</v>
      </c>
      <c r="G17" s="21" t="str">
        <f t="shared" si="0"/>
        <v>P</v>
      </c>
      <c r="H17" s="21" t="str">
        <f t="shared" si="1"/>
        <v>AP</v>
      </c>
      <c r="I17" s="21">
        <f t="shared" si="2"/>
        <v>16</v>
      </c>
      <c r="J17" s="21">
        <f t="shared" si="3"/>
        <v>1</v>
      </c>
    </row>
    <row r="18" spans="5:10" ht="15" customHeight="1" x14ac:dyDescent="0.25">
      <c r="G18" s="21" t="str">
        <f t="shared" si="0"/>
        <v>Q</v>
      </c>
      <c r="H18" s="21" t="str">
        <f t="shared" si="1"/>
        <v>AQ</v>
      </c>
      <c r="I18" s="21">
        <f t="shared" si="2"/>
        <v>17</v>
      </c>
      <c r="J18" s="21">
        <f t="shared" si="3"/>
        <v>1</v>
      </c>
    </row>
    <row r="19" spans="5:10" ht="15" customHeight="1" x14ac:dyDescent="0.25">
      <c r="E19" s="362" t="s">
        <v>965</v>
      </c>
      <c r="G19" s="21" t="str">
        <f t="shared" si="0"/>
        <v>R</v>
      </c>
      <c r="H19" s="21" t="str">
        <f t="shared" si="1"/>
        <v>AR</v>
      </c>
      <c r="I19" s="21">
        <f t="shared" si="2"/>
        <v>18</v>
      </c>
      <c r="J19" s="21">
        <f t="shared" si="3"/>
        <v>1</v>
      </c>
    </row>
    <row r="20" spans="5:10" ht="15" customHeight="1" x14ac:dyDescent="0.25">
      <c r="E20" s="11" t="s">
        <v>966</v>
      </c>
      <c r="G20" s="21" t="str">
        <f t="shared" si="0"/>
        <v>S</v>
      </c>
      <c r="H20" s="21" t="str">
        <f t="shared" si="1"/>
        <v>AS</v>
      </c>
      <c r="I20" s="21">
        <f t="shared" si="2"/>
        <v>19</v>
      </c>
      <c r="J20" s="21">
        <f t="shared" si="3"/>
        <v>1</v>
      </c>
    </row>
    <row r="21" spans="5:10" ht="15" customHeight="1" x14ac:dyDescent="0.25">
      <c r="E21" s="11" t="s">
        <v>967</v>
      </c>
      <c r="G21" s="21" t="str">
        <f t="shared" si="0"/>
        <v>T</v>
      </c>
      <c r="H21" s="21" t="str">
        <f t="shared" si="1"/>
        <v>AT</v>
      </c>
      <c r="I21" s="21">
        <f t="shared" si="2"/>
        <v>20</v>
      </c>
      <c r="J21" s="21">
        <f t="shared" si="3"/>
        <v>1</v>
      </c>
    </row>
    <row r="22" spans="5:10" ht="15" customHeight="1" x14ac:dyDescent="0.25">
      <c r="E22" s="11" t="s">
        <v>968</v>
      </c>
      <c r="G22" s="21" t="str">
        <f t="shared" si="0"/>
        <v>U</v>
      </c>
      <c r="H22" s="21" t="str">
        <f t="shared" si="1"/>
        <v>AU</v>
      </c>
      <c r="I22" s="21">
        <f t="shared" si="2"/>
        <v>21</v>
      </c>
      <c r="J22" s="21">
        <f t="shared" si="3"/>
        <v>1</v>
      </c>
    </row>
    <row r="23" spans="5:10" ht="15" customHeight="1" x14ac:dyDescent="0.25">
      <c r="E23" s="21" t="s">
        <v>969</v>
      </c>
      <c r="G23" s="21" t="str">
        <f t="shared" si="0"/>
        <v>V</v>
      </c>
      <c r="H23" s="21" t="str">
        <f t="shared" si="1"/>
        <v>AV</v>
      </c>
      <c r="I23" s="21">
        <f t="shared" si="2"/>
        <v>22</v>
      </c>
      <c r="J23" s="21">
        <f t="shared" si="3"/>
        <v>1</v>
      </c>
    </row>
    <row r="24" spans="5:10" ht="15" customHeight="1" x14ac:dyDescent="0.25">
      <c r="G24" s="21" t="str">
        <f t="shared" si="0"/>
        <v>W</v>
      </c>
      <c r="H24" s="21" t="str">
        <f t="shared" si="1"/>
        <v>AW</v>
      </c>
      <c r="I24" s="21">
        <f t="shared" si="2"/>
        <v>23</v>
      </c>
      <c r="J24" s="21">
        <f t="shared" si="3"/>
        <v>1</v>
      </c>
    </row>
    <row r="25" spans="5:10" ht="15" customHeight="1" x14ac:dyDescent="0.25">
      <c r="E25" s="362" t="s">
        <v>970</v>
      </c>
      <c r="G25" s="21" t="str">
        <f t="shared" si="0"/>
        <v>X</v>
      </c>
      <c r="H25" s="21" t="str">
        <f t="shared" si="1"/>
        <v>AX</v>
      </c>
      <c r="I25" s="21">
        <f t="shared" si="2"/>
        <v>24</v>
      </c>
      <c r="J25" s="21">
        <f t="shared" si="3"/>
        <v>1</v>
      </c>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35"/>
  <sheetViews>
    <sheetView zoomScaleNormal="100" workbookViewId="0">
      <selection activeCell="B2" sqref="B2"/>
    </sheetView>
  </sheetViews>
  <sheetFormatPr defaultColWidth="8.7109375" defaultRowHeight="15" x14ac:dyDescent="0.25"/>
  <cols>
    <col min="1" max="1" width="9" customWidth="1"/>
    <col min="2" max="2" width="24.85546875" customWidth="1"/>
    <col min="4" max="4" width="15.42578125" customWidth="1"/>
    <col min="5" max="5" width="13.140625" customWidth="1"/>
    <col min="6" max="6" width="11.5703125" customWidth="1"/>
    <col min="7" max="7" width="13.5703125" customWidth="1"/>
    <col min="8" max="8" width="18.85546875" customWidth="1"/>
    <col min="9" max="9" width="12.7109375" customWidth="1"/>
    <col min="10" max="10" width="15.85546875" customWidth="1"/>
    <col min="11" max="11" width="26" customWidth="1"/>
    <col min="12" max="12" width="11.85546875" customWidth="1"/>
    <col min="13" max="13" width="9.140625" customWidth="1"/>
    <col min="14" max="14" width="12.7109375" customWidth="1"/>
    <col min="15" max="15" width="9.140625" customWidth="1"/>
    <col min="16" max="16" width="10.7109375" customWidth="1"/>
    <col min="17" max="17" width="9.140625" customWidth="1"/>
    <col min="19" max="19" width="10" customWidth="1"/>
    <col min="20" max="20" width="9.140625" customWidth="1"/>
  </cols>
  <sheetData>
    <row r="1" spans="1:25" ht="38.25" customHeight="1" x14ac:dyDescent="0.25">
      <c r="A1" s="365" t="s">
        <v>480</v>
      </c>
      <c r="B1" s="365" t="s">
        <v>971</v>
      </c>
      <c r="C1" s="365" t="s">
        <v>972</v>
      </c>
      <c r="D1" s="365" t="s">
        <v>973</v>
      </c>
      <c r="E1" s="365" t="s">
        <v>974</v>
      </c>
      <c r="F1" s="365" t="s">
        <v>975</v>
      </c>
      <c r="G1" s="365" t="s">
        <v>976</v>
      </c>
      <c r="H1" s="365" t="s">
        <v>977</v>
      </c>
      <c r="I1" s="365" t="s">
        <v>978</v>
      </c>
      <c r="J1" s="365" t="s">
        <v>979</v>
      </c>
      <c r="K1" s="365" t="s">
        <v>980</v>
      </c>
      <c r="L1" s="365" t="s">
        <v>981</v>
      </c>
      <c r="M1" s="365" t="s">
        <v>982</v>
      </c>
      <c r="N1" s="365" t="s">
        <v>983</v>
      </c>
      <c r="O1" s="365" t="s">
        <v>984</v>
      </c>
      <c r="P1" s="365" t="s">
        <v>985</v>
      </c>
      <c r="Q1" s="365" t="s">
        <v>986</v>
      </c>
      <c r="R1" s="365" t="s">
        <v>987</v>
      </c>
      <c r="S1" s="365" t="s">
        <v>988</v>
      </c>
      <c r="T1" s="107" t="s">
        <v>989</v>
      </c>
      <c r="U1" s="107" t="s">
        <v>990</v>
      </c>
      <c r="V1" s="107" t="s">
        <v>991</v>
      </c>
      <c r="W1" s="107" t="s">
        <v>992</v>
      </c>
      <c r="X1" s="107" t="s">
        <v>993</v>
      </c>
      <c r="Y1" s="107" t="s">
        <v>994</v>
      </c>
    </row>
    <row r="2" spans="1:25" ht="15" customHeight="1" x14ac:dyDescent="0.25">
      <c r="A2" s="286" t="str">
        <f t="shared" ref="A2:A35" ca="1" si="0">IF(Y2=1,RiskIdBeginsWith&amp;TEXT(X2,"00")&amp;"▲",IF(Y2=2,RiskIdBeginsWith&amp;TEXT(X2,"00")&amp;" ",IF(Y2=3,RiskIdBeginsWith&amp;TEXT(X2,"00")&amp;"▼",IF(Y2=4,"¡"&amp;RiskIdBeginsWith&amp;TEXT(X2,"00")&amp;"!",RiskIdBeginsWith&amp;TEXT(X2,"00")))))</f>
        <v>Company 101</v>
      </c>
      <c r="B2" s="247" t="str">
        <f t="shared" ref="B2:B35" ca="1" si="1">TRIM(SUBSTITUTE(INDIRECT(ADDRESS(ROW()+7,4,1,1,"Top 10 Risks")),CHAR(10)," "))</f>
        <v/>
      </c>
      <c r="C2" s="247">
        <f t="shared" ref="C2:C35" ca="1" si="2">INDIRECT(ADDRESS(ROW()+7,5,1,1,"Top 10 Risks"))</f>
        <v>0</v>
      </c>
      <c r="D2" s="247" t="str">
        <f ca="1">'Risk Aggregation'!G3</f>
        <v/>
      </c>
      <c r="E2" s="247">
        <f ca="1">'Risk Aggregation'!H3</f>
        <v>0</v>
      </c>
      <c r="F2" s="247" t="str">
        <f ca="1">'Risk Aggregation'!F3</f>
        <v/>
      </c>
      <c r="G2" s="286" t="str">
        <f t="shared" ref="G2:G35" ca="1" si="3">"Area"&amp;D2&amp;F2</f>
        <v>Area</v>
      </c>
      <c r="H2" s="286" t="str">
        <f t="shared" ref="H2:H35" ca="1" si="4">IF(SUM(E2)&gt;SUM(D2),"NonFinancialArea"&amp;E2&amp;F2,"")</f>
        <v/>
      </c>
      <c r="I2" s="247">
        <f t="shared" ref="I2:I35" ca="1" si="5">INDIRECT(ADDRESS(ROW()+7,6,1,1,"Top 10 Risks"))</f>
        <v>0</v>
      </c>
      <c r="J2" s="247">
        <f t="shared" ref="J2:J35" ca="1" si="6">INDIRECT(ADDRESS(ROW()+7,5,1,1,"Top 10 Risks"))</f>
        <v>0</v>
      </c>
      <c r="K2" s="247">
        <f t="shared" ref="K2:K35" ca="1" si="7">INDIRECT(ADDRESS(ROW()+7,12,1,1,"Top 10 Risks"))</f>
        <v>0</v>
      </c>
      <c r="L2" s="247" t="b">
        <f>'Risk Control'!E8</f>
        <v>0</v>
      </c>
      <c r="M2" s="247" t="b">
        <f>'Risk Control'!L8</f>
        <v>0</v>
      </c>
      <c r="N2" s="247" t="b">
        <f>'Risk Control'!S8</f>
        <v>0</v>
      </c>
      <c r="O2" s="247" t="b">
        <f>'Risk Control'!AA8</f>
        <v>0</v>
      </c>
      <c r="P2" s="247" t="b">
        <f>'Risk Control'!AI8</f>
        <v>0</v>
      </c>
      <c r="Q2" s="366">
        <f t="shared" ref="Q2:Q35" si="8">ISNUMBER(L2)*4+ISNUMBER(M2)*4+ISNUMBER(N2)*5+ISNUMBER(O2)*5+ISNUMBER(P2)*5</f>
        <v>0</v>
      </c>
      <c r="R2" s="366">
        <f t="shared" ref="R2:R35" ca="1" si="9">IF(B2=0,0,SUM(L2:P2))</f>
        <v>0</v>
      </c>
      <c r="S2" s="366">
        <f t="shared" ref="S2:S35" ca="1" si="10">IF(B2=0,0,Q2-R2)</f>
        <v>0</v>
      </c>
      <c r="T2" s="26">
        <f>'Top 10 Risks (Page 2)'!F9</f>
        <v>0</v>
      </c>
      <c r="U2" s="247">
        <f>'Top 10 Risks (Page 2)'!H9</f>
        <v>0</v>
      </c>
      <c r="V2" s="247">
        <f>'Top 10 Risks (Page 2)'!J9</f>
        <v>0</v>
      </c>
      <c r="W2" s="247" t="b">
        <f t="shared" ref="W2:W35" ca="1" si="11">IF(AND(V2&lt;&gt;0,V2&lt;&gt;I2),TRUE(),FALSE())</f>
        <v>0</v>
      </c>
      <c r="X2" s="247">
        <f t="shared" ref="X2:X35" ca="1" si="12">INDIRECT(ADDRESS(ROW()+7,3,1,1,"Top 10 Risks"))</f>
        <v>1</v>
      </c>
      <c r="Y2" s="247">
        <f t="shared" ref="Y2:Y35" ca="1" si="13">INDIRECT(ADDRESS(ROW()+7,11,1,1,"Top 10 Risks"))</f>
        <v>0</v>
      </c>
    </row>
    <row r="3" spans="1:25" ht="15" customHeight="1" x14ac:dyDescent="0.25">
      <c r="A3" s="286" t="str">
        <f t="shared" ca="1" si="0"/>
        <v>Company 102</v>
      </c>
      <c r="B3" s="247" t="str">
        <f t="shared" ca="1" si="1"/>
        <v/>
      </c>
      <c r="C3" s="247">
        <f t="shared" ca="1" si="2"/>
        <v>0</v>
      </c>
      <c r="D3" s="247" t="str">
        <f ca="1">'Risk Aggregation'!G4</f>
        <v/>
      </c>
      <c r="E3" s="247">
        <f ca="1">'Risk Aggregation'!H4</f>
        <v>0</v>
      </c>
      <c r="F3" s="247" t="str">
        <f ca="1">'Risk Aggregation'!F4</f>
        <v/>
      </c>
      <c r="G3" s="286" t="str">
        <f t="shared" ca="1" si="3"/>
        <v>Area</v>
      </c>
      <c r="H3" s="286" t="str">
        <f t="shared" ca="1" si="4"/>
        <v/>
      </c>
      <c r="I3" s="247">
        <f t="shared" ca="1" si="5"/>
        <v>0</v>
      </c>
      <c r="J3" s="247">
        <f t="shared" ca="1" si="6"/>
        <v>0</v>
      </c>
      <c r="K3" s="247">
        <f t="shared" ca="1" si="7"/>
        <v>0</v>
      </c>
      <c r="L3" s="247" t="b">
        <f>'Risk Control'!E9</f>
        <v>0</v>
      </c>
      <c r="M3" s="247" t="b">
        <f>'Risk Control'!L9</f>
        <v>0</v>
      </c>
      <c r="N3" s="247" t="b">
        <f>'Risk Control'!S9</f>
        <v>0</v>
      </c>
      <c r="O3" s="247" t="b">
        <f>'Risk Control'!AA9</f>
        <v>0</v>
      </c>
      <c r="P3" s="247" t="b">
        <f>'Risk Control'!AI9</f>
        <v>0</v>
      </c>
      <c r="Q3" s="366">
        <f t="shared" si="8"/>
        <v>0</v>
      </c>
      <c r="R3" s="366">
        <f t="shared" ca="1" si="9"/>
        <v>0</v>
      </c>
      <c r="S3" s="366">
        <f t="shared" ca="1" si="10"/>
        <v>0</v>
      </c>
      <c r="T3" s="26">
        <f>'Top 10 Risks (Page 2)'!F10</f>
        <v>0</v>
      </c>
      <c r="U3" s="247">
        <f>'Top 10 Risks (Page 2)'!H10</f>
        <v>0</v>
      </c>
      <c r="V3" s="247">
        <f>'Top 10 Risks (Page 2)'!J10</f>
        <v>0</v>
      </c>
      <c r="W3" s="247" t="b">
        <f t="shared" ca="1" si="11"/>
        <v>0</v>
      </c>
      <c r="X3" s="247">
        <f t="shared" ca="1" si="12"/>
        <v>2</v>
      </c>
      <c r="Y3" s="247">
        <f t="shared" ca="1" si="13"/>
        <v>0</v>
      </c>
    </row>
    <row r="4" spans="1:25" ht="15" customHeight="1" x14ac:dyDescent="0.25">
      <c r="A4" s="286" t="str">
        <f t="shared" ca="1" si="0"/>
        <v>Company 103</v>
      </c>
      <c r="B4" s="247" t="str">
        <f t="shared" ca="1" si="1"/>
        <v/>
      </c>
      <c r="C4" s="247">
        <f t="shared" ca="1" si="2"/>
        <v>0</v>
      </c>
      <c r="D4" s="247" t="str">
        <f ca="1">'Risk Aggregation'!G5</f>
        <v/>
      </c>
      <c r="E4" s="247">
        <f ca="1">'Risk Aggregation'!H5</f>
        <v>0</v>
      </c>
      <c r="F4" s="247" t="str">
        <f ca="1">'Risk Aggregation'!F5</f>
        <v/>
      </c>
      <c r="G4" s="286" t="str">
        <f t="shared" ca="1" si="3"/>
        <v>Area</v>
      </c>
      <c r="H4" s="286" t="str">
        <f t="shared" ca="1" si="4"/>
        <v/>
      </c>
      <c r="I4" s="247">
        <f t="shared" ca="1" si="5"/>
        <v>0</v>
      </c>
      <c r="J4" s="247">
        <f t="shared" ca="1" si="6"/>
        <v>0</v>
      </c>
      <c r="K4" s="247">
        <f t="shared" ca="1" si="7"/>
        <v>0</v>
      </c>
      <c r="L4" s="247" t="b">
        <f>'Risk Control'!E10</f>
        <v>0</v>
      </c>
      <c r="M4" s="247" t="b">
        <f>'Risk Control'!L10</f>
        <v>0</v>
      </c>
      <c r="N4" s="247" t="b">
        <f>'Risk Control'!S10</f>
        <v>0</v>
      </c>
      <c r="O4" s="247" t="b">
        <f>'Risk Control'!AA10</f>
        <v>0</v>
      </c>
      <c r="P4" s="247" t="b">
        <f>'Risk Control'!AI10</f>
        <v>0</v>
      </c>
      <c r="Q4" s="366">
        <f t="shared" si="8"/>
        <v>0</v>
      </c>
      <c r="R4" s="366">
        <f t="shared" ca="1" si="9"/>
        <v>0</v>
      </c>
      <c r="S4" s="366">
        <f t="shared" ca="1" si="10"/>
        <v>0</v>
      </c>
      <c r="T4" s="26">
        <f>'Top 10 Risks (Page 2)'!F11</f>
        <v>0</v>
      </c>
      <c r="U4" s="247">
        <f>'Top 10 Risks (Page 2)'!H11</f>
        <v>0</v>
      </c>
      <c r="V4" s="247">
        <f>'Top 10 Risks (Page 2)'!J11</f>
        <v>0</v>
      </c>
      <c r="W4" s="247" t="b">
        <f t="shared" ca="1" si="11"/>
        <v>0</v>
      </c>
      <c r="X4" s="247">
        <f t="shared" ca="1" si="12"/>
        <v>3</v>
      </c>
      <c r="Y4" s="247">
        <f t="shared" ca="1" si="13"/>
        <v>0</v>
      </c>
    </row>
    <row r="5" spans="1:25" ht="15" customHeight="1" x14ac:dyDescent="0.25">
      <c r="A5" s="286" t="str">
        <f t="shared" ca="1" si="0"/>
        <v>Company 104</v>
      </c>
      <c r="B5" s="247" t="str">
        <f t="shared" ca="1" si="1"/>
        <v/>
      </c>
      <c r="C5" s="247">
        <f t="shared" ca="1" si="2"/>
        <v>0</v>
      </c>
      <c r="D5" s="247" t="str">
        <f ca="1">'Risk Aggregation'!G6</f>
        <v/>
      </c>
      <c r="E5" s="247">
        <f ca="1">'Risk Aggregation'!H6</f>
        <v>0</v>
      </c>
      <c r="F5" s="247" t="str">
        <f ca="1">'Risk Aggregation'!F6</f>
        <v/>
      </c>
      <c r="G5" s="286" t="str">
        <f t="shared" ca="1" si="3"/>
        <v>Area</v>
      </c>
      <c r="H5" s="286" t="str">
        <f t="shared" ca="1" si="4"/>
        <v/>
      </c>
      <c r="I5" s="247">
        <f t="shared" ca="1" si="5"/>
        <v>0</v>
      </c>
      <c r="J5" s="247">
        <f t="shared" ca="1" si="6"/>
        <v>0</v>
      </c>
      <c r="K5" s="247">
        <f t="shared" ca="1" si="7"/>
        <v>0</v>
      </c>
      <c r="L5" s="247" t="b">
        <f>'Risk Control'!E11</f>
        <v>0</v>
      </c>
      <c r="M5" s="247" t="b">
        <f>'Risk Control'!L11</f>
        <v>0</v>
      </c>
      <c r="N5" s="247" t="b">
        <f>'Risk Control'!S11</f>
        <v>0</v>
      </c>
      <c r="O5" s="247" t="b">
        <f>'Risk Control'!AA11</f>
        <v>0</v>
      </c>
      <c r="P5" s="247" t="b">
        <f>'Risk Control'!AI11</f>
        <v>0</v>
      </c>
      <c r="Q5" s="366">
        <f t="shared" si="8"/>
        <v>0</v>
      </c>
      <c r="R5" s="366">
        <f t="shared" ca="1" si="9"/>
        <v>0</v>
      </c>
      <c r="S5" s="366">
        <f t="shared" ca="1" si="10"/>
        <v>0</v>
      </c>
      <c r="T5" s="26">
        <f>'Top 10 Risks (Page 2)'!F12</f>
        <v>0</v>
      </c>
      <c r="U5" s="247">
        <f>'Top 10 Risks (Page 2)'!H12</f>
        <v>0</v>
      </c>
      <c r="V5" s="247">
        <f>'Top 10 Risks (Page 2)'!J12</f>
        <v>0</v>
      </c>
      <c r="W5" s="247" t="b">
        <f t="shared" ca="1" si="11"/>
        <v>0</v>
      </c>
      <c r="X5" s="247">
        <f t="shared" ca="1" si="12"/>
        <v>4</v>
      </c>
      <c r="Y5" s="247">
        <f t="shared" ca="1" si="13"/>
        <v>0</v>
      </c>
    </row>
    <row r="6" spans="1:25" ht="15" customHeight="1" x14ac:dyDescent="0.25">
      <c r="A6" s="286" t="str">
        <f t="shared" ca="1" si="0"/>
        <v>Company 105</v>
      </c>
      <c r="B6" s="247" t="str">
        <f t="shared" ca="1" si="1"/>
        <v/>
      </c>
      <c r="C6" s="247">
        <f t="shared" ca="1" si="2"/>
        <v>0</v>
      </c>
      <c r="D6" s="247" t="str">
        <f ca="1">'Risk Aggregation'!G7</f>
        <v/>
      </c>
      <c r="E6" s="247">
        <f ca="1">'Risk Aggregation'!H7</f>
        <v>0</v>
      </c>
      <c r="F6" s="247" t="str">
        <f ca="1">'Risk Aggregation'!F7</f>
        <v/>
      </c>
      <c r="G6" s="286" t="str">
        <f t="shared" ca="1" si="3"/>
        <v>Area</v>
      </c>
      <c r="H6" s="286" t="str">
        <f t="shared" ca="1" si="4"/>
        <v/>
      </c>
      <c r="I6" s="247">
        <f t="shared" ca="1" si="5"/>
        <v>0</v>
      </c>
      <c r="J6" s="247">
        <f t="shared" ca="1" si="6"/>
        <v>0</v>
      </c>
      <c r="K6" s="247">
        <f t="shared" ca="1" si="7"/>
        <v>0</v>
      </c>
      <c r="L6" s="247" t="b">
        <f>'Risk Control'!E12</f>
        <v>0</v>
      </c>
      <c r="M6" s="247" t="b">
        <f>'Risk Control'!L12</f>
        <v>0</v>
      </c>
      <c r="N6" s="247" t="b">
        <f>'Risk Control'!S12</f>
        <v>0</v>
      </c>
      <c r="O6" s="247" t="b">
        <f>'Risk Control'!AA12</f>
        <v>0</v>
      </c>
      <c r="P6" s="247" t="b">
        <f>'Risk Control'!AI12</f>
        <v>0</v>
      </c>
      <c r="Q6" s="366">
        <f t="shared" si="8"/>
        <v>0</v>
      </c>
      <c r="R6" s="366">
        <f t="shared" ca="1" si="9"/>
        <v>0</v>
      </c>
      <c r="S6" s="366">
        <f t="shared" ca="1" si="10"/>
        <v>0</v>
      </c>
      <c r="T6" s="26">
        <f>'Top 10 Risks (Page 2)'!F13</f>
        <v>0</v>
      </c>
      <c r="U6" s="247">
        <f>'Top 10 Risks (Page 2)'!H13</f>
        <v>0</v>
      </c>
      <c r="V6" s="247">
        <f>'Top 10 Risks (Page 2)'!J13</f>
        <v>0</v>
      </c>
      <c r="W6" s="247" t="b">
        <f t="shared" ca="1" si="11"/>
        <v>0</v>
      </c>
      <c r="X6" s="247">
        <f t="shared" ca="1" si="12"/>
        <v>5</v>
      </c>
      <c r="Y6" s="247">
        <f t="shared" ca="1" si="13"/>
        <v>0</v>
      </c>
    </row>
    <row r="7" spans="1:25" ht="15" customHeight="1" x14ac:dyDescent="0.25">
      <c r="A7" s="286" t="str">
        <f t="shared" ca="1" si="0"/>
        <v>Company 106</v>
      </c>
      <c r="B7" s="247" t="str">
        <f t="shared" ca="1" si="1"/>
        <v/>
      </c>
      <c r="C7" s="247">
        <f t="shared" ca="1" si="2"/>
        <v>0</v>
      </c>
      <c r="D7" s="247" t="str">
        <f ca="1">'Risk Aggregation'!G8</f>
        <v/>
      </c>
      <c r="E7" s="247">
        <f ca="1">'Risk Aggregation'!H8</f>
        <v>0</v>
      </c>
      <c r="F7" s="247" t="str">
        <f ca="1">'Risk Aggregation'!F8</f>
        <v/>
      </c>
      <c r="G7" s="286" t="str">
        <f t="shared" ca="1" si="3"/>
        <v>Area</v>
      </c>
      <c r="H7" s="286" t="str">
        <f t="shared" ca="1" si="4"/>
        <v/>
      </c>
      <c r="I7" s="247">
        <f t="shared" ca="1" si="5"/>
        <v>0</v>
      </c>
      <c r="J7" s="247">
        <f t="shared" ca="1" si="6"/>
        <v>0</v>
      </c>
      <c r="K7" s="247">
        <f t="shared" ca="1" si="7"/>
        <v>0</v>
      </c>
      <c r="L7" s="247" t="b">
        <f>'Risk Control'!E13</f>
        <v>0</v>
      </c>
      <c r="M7" s="247" t="b">
        <f>'Risk Control'!L13</f>
        <v>0</v>
      </c>
      <c r="N7" s="247" t="b">
        <f>'Risk Control'!S13</f>
        <v>0</v>
      </c>
      <c r="O7" s="247" t="b">
        <f>'Risk Control'!AA13</f>
        <v>0</v>
      </c>
      <c r="P7" s="247" t="b">
        <f>'Risk Control'!AI13</f>
        <v>0</v>
      </c>
      <c r="Q7" s="366">
        <f t="shared" si="8"/>
        <v>0</v>
      </c>
      <c r="R7" s="366">
        <f t="shared" ca="1" si="9"/>
        <v>0</v>
      </c>
      <c r="S7" s="366">
        <f t="shared" ca="1" si="10"/>
        <v>0</v>
      </c>
      <c r="T7" s="26">
        <f>'Top 10 Risks (Page 2)'!F14</f>
        <v>0</v>
      </c>
      <c r="U7" s="247">
        <f>'Top 10 Risks (Page 2)'!H14</f>
        <v>0</v>
      </c>
      <c r="V7" s="247">
        <f>'Top 10 Risks (Page 2)'!J14</f>
        <v>0</v>
      </c>
      <c r="W7" s="247" t="b">
        <f t="shared" ca="1" si="11"/>
        <v>0</v>
      </c>
      <c r="X7" s="247">
        <f t="shared" ca="1" si="12"/>
        <v>6</v>
      </c>
      <c r="Y7" s="247">
        <f t="shared" ca="1" si="13"/>
        <v>0</v>
      </c>
    </row>
    <row r="8" spans="1:25" ht="15" customHeight="1" x14ac:dyDescent="0.25">
      <c r="A8" s="286" t="str">
        <f t="shared" ca="1" si="0"/>
        <v>Company 107</v>
      </c>
      <c r="B8" s="247" t="str">
        <f t="shared" ca="1" si="1"/>
        <v/>
      </c>
      <c r="C8" s="247">
        <f t="shared" ca="1" si="2"/>
        <v>0</v>
      </c>
      <c r="D8" s="247" t="str">
        <f ca="1">'Risk Aggregation'!G9</f>
        <v/>
      </c>
      <c r="E8" s="247">
        <f ca="1">'Risk Aggregation'!H9</f>
        <v>0</v>
      </c>
      <c r="F8" s="247" t="str">
        <f ca="1">'Risk Aggregation'!F9</f>
        <v/>
      </c>
      <c r="G8" s="286" t="str">
        <f t="shared" ca="1" si="3"/>
        <v>Area</v>
      </c>
      <c r="H8" s="286" t="str">
        <f t="shared" ca="1" si="4"/>
        <v/>
      </c>
      <c r="I8" s="247">
        <f t="shared" ca="1" si="5"/>
        <v>0</v>
      </c>
      <c r="J8" s="247">
        <f t="shared" ca="1" si="6"/>
        <v>0</v>
      </c>
      <c r="K8" s="247">
        <f t="shared" ca="1" si="7"/>
        <v>0</v>
      </c>
      <c r="L8" s="247" t="b">
        <f>'Risk Control'!E14</f>
        <v>0</v>
      </c>
      <c r="M8" s="247" t="b">
        <f>'Risk Control'!L14</f>
        <v>0</v>
      </c>
      <c r="N8" s="247" t="b">
        <f>'Risk Control'!S14</f>
        <v>0</v>
      </c>
      <c r="O8" s="247" t="b">
        <f>'Risk Control'!AA14</f>
        <v>0</v>
      </c>
      <c r="P8" s="247" t="b">
        <f>'Risk Control'!AI14</f>
        <v>0</v>
      </c>
      <c r="Q8" s="366">
        <f t="shared" si="8"/>
        <v>0</v>
      </c>
      <c r="R8" s="366">
        <f t="shared" ca="1" si="9"/>
        <v>0</v>
      </c>
      <c r="S8" s="366">
        <f t="shared" ca="1" si="10"/>
        <v>0</v>
      </c>
      <c r="T8" s="26">
        <f>'Top 10 Risks (Page 2)'!F15</f>
        <v>0</v>
      </c>
      <c r="U8" s="247">
        <f>'Top 10 Risks (Page 2)'!H15</f>
        <v>0</v>
      </c>
      <c r="V8" s="247">
        <f>'Top 10 Risks (Page 2)'!J15</f>
        <v>0</v>
      </c>
      <c r="W8" s="247" t="b">
        <f t="shared" ca="1" si="11"/>
        <v>0</v>
      </c>
      <c r="X8" s="247">
        <f t="shared" ca="1" si="12"/>
        <v>7</v>
      </c>
      <c r="Y8" s="247">
        <f t="shared" ca="1" si="13"/>
        <v>0</v>
      </c>
    </row>
    <row r="9" spans="1:25" ht="15" customHeight="1" x14ac:dyDescent="0.25">
      <c r="A9" s="286" t="str">
        <f t="shared" ca="1" si="0"/>
        <v>Company 108</v>
      </c>
      <c r="B9" s="247" t="str">
        <f t="shared" ca="1" si="1"/>
        <v/>
      </c>
      <c r="C9" s="247">
        <f t="shared" ca="1" si="2"/>
        <v>0</v>
      </c>
      <c r="D9" s="247" t="str">
        <f ca="1">'Risk Aggregation'!G10</f>
        <v/>
      </c>
      <c r="E9" s="247">
        <f ca="1">'Risk Aggregation'!H10</f>
        <v>0</v>
      </c>
      <c r="F9" s="247" t="str">
        <f ca="1">'Risk Aggregation'!F10</f>
        <v/>
      </c>
      <c r="G9" s="286" t="str">
        <f t="shared" ca="1" si="3"/>
        <v>Area</v>
      </c>
      <c r="H9" s="286" t="str">
        <f t="shared" ca="1" si="4"/>
        <v/>
      </c>
      <c r="I9" s="247">
        <f t="shared" ca="1" si="5"/>
        <v>0</v>
      </c>
      <c r="J9" s="247">
        <f t="shared" ca="1" si="6"/>
        <v>0</v>
      </c>
      <c r="K9" s="247">
        <f t="shared" ca="1" si="7"/>
        <v>0</v>
      </c>
      <c r="L9" s="247" t="b">
        <f>'Risk Control'!E15</f>
        <v>0</v>
      </c>
      <c r="M9" s="247" t="b">
        <f>'Risk Control'!L15</f>
        <v>0</v>
      </c>
      <c r="N9" s="247" t="b">
        <f>'Risk Control'!S15</f>
        <v>0</v>
      </c>
      <c r="O9" s="247" t="b">
        <f>'Risk Control'!AA15</f>
        <v>0</v>
      </c>
      <c r="P9" s="247" t="b">
        <f>'Risk Control'!AI15</f>
        <v>0</v>
      </c>
      <c r="Q9" s="366">
        <f t="shared" si="8"/>
        <v>0</v>
      </c>
      <c r="R9" s="366">
        <f t="shared" ca="1" si="9"/>
        <v>0</v>
      </c>
      <c r="S9" s="366">
        <f t="shared" ca="1" si="10"/>
        <v>0</v>
      </c>
      <c r="T9" s="26">
        <f>'Top 10 Risks (Page 2)'!F16</f>
        <v>0</v>
      </c>
      <c r="U9" s="247">
        <f>'Top 10 Risks (Page 2)'!H16</f>
        <v>0</v>
      </c>
      <c r="V9" s="247">
        <f>'Top 10 Risks (Page 2)'!J16</f>
        <v>0</v>
      </c>
      <c r="W9" s="247" t="b">
        <f t="shared" ca="1" si="11"/>
        <v>0</v>
      </c>
      <c r="X9" s="247">
        <f t="shared" ca="1" si="12"/>
        <v>8</v>
      </c>
      <c r="Y9" s="247">
        <f t="shared" ca="1" si="13"/>
        <v>0</v>
      </c>
    </row>
    <row r="10" spans="1:25" ht="15" customHeight="1" x14ac:dyDescent="0.25">
      <c r="A10" s="286" t="str">
        <f t="shared" ca="1" si="0"/>
        <v>Company 109</v>
      </c>
      <c r="B10" s="247" t="str">
        <f t="shared" ca="1" si="1"/>
        <v/>
      </c>
      <c r="C10" s="247">
        <f t="shared" ca="1" si="2"/>
        <v>0</v>
      </c>
      <c r="D10" s="247" t="str">
        <f ca="1">'Risk Aggregation'!G11</f>
        <v/>
      </c>
      <c r="E10" s="247">
        <f ca="1">'Risk Aggregation'!H11</f>
        <v>0</v>
      </c>
      <c r="F10" s="247" t="str">
        <f ca="1">'Risk Aggregation'!F11</f>
        <v/>
      </c>
      <c r="G10" s="286" t="str">
        <f t="shared" ca="1" si="3"/>
        <v>Area</v>
      </c>
      <c r="H10" s="286" t="str">
        <f t="shared" ca="1" si="4"/>
        <v/>
      </c>
      <c r="I10" s="247">
        <f t="shared" ca="1" si="5"/>
        <v>0</v>
      </c>
      <c r="J10" s="247">
        <f t="shared" ca="1" si="6"/>
        <v>0</v>
      </c>
      <c r="K10" s="247">
        <f t="shared" ca="1" si="7"/>
        <v>0</v>
      </c>
      <c r="L10" s="247" t="b">
        <f>'Risk Control'!E16</f>
        <v>0</v>
      </c>
      <c r="M10" s="247" t="b">
        <f>'Risk Control'!L16</f>
        <v>0</v>
      </c>
      <c r="N10" s="247" t="b">
        <f>'Risk Control'!S16</f>
        <v>0</v>
      </c>
      <c r="O10" s="247" t="b">
        <f>'Risk Control'!AA16</f>
        <v>0</v>
      </c>
      <c r="P10" s="247" t="b">
        <f>'Risk Control'!AI16</f>
        <v>0</v>
      </c>
      <c r="Q10" s="366">
        <f t="shared" si="8"/>
        <v>0</v>
      </c>
      <c r="R10" s="366">
        <f t="shared" ca="1" si="9"/>
        <v>0</v>
      </c>
      <c r="S10" s="366">
        <f t="shared" ca="1" si="10"/>
        <v>0</v>
      </c>
      <c r="T10" s="26">
        <f>'Top 10 Risks (Page 2)'!F17</f>
        <v>0</v>
      </c>
      <c r="U10" s="247">
        <f>'Top 10 Risks (Page 2)'!H17</f>
        <v>0</v>
      </c>
      <c r="V10" s="247">
        <f>'Top 10 Risks (Page 2)'!J17</f>
        <v>0</v>
      </c>
      <c r="W10" s="247" t="b">
        <f t="shared" ca="1" si="11"/>
        <v>0</v>
      </c>
      <c r="X10" s="247">
        <f t="shared" ca="1" si="12"/>
        <v>9</v>
      </c>
      <c r="Y10" s="247">
        <f t="shared" ca="1" si="13"/>
        <v>0</v>
      </c>
    </row>
    <row r="11" spans="1:25" ht="15" customHeight="1" x14ac:dyDescent="0.25">
      <c r="A11" s="286" t="str">
        <f t="shared" ca="1" si="0"/>
        <v>Company 110</v>
      </c>
      <c r="B11" s="247" t="str">
        <f t="shared" ca="1" si="1"/>
        <v/>
      </c>
      <c r="C11" s="247">
        <f t="shared" ca="1" si="2"/>
        <v>0</v>
      </c>
      <c r="D11" s="247" t="str">
        <f ca="1">'Risk Aggregation'!G12</f>
        <v/>
      </c>
      <c r="E11" s="247">
        <f ca="1">'Risk Aggregation'!H12</f>
        <v>0</v>
      </c>
      <c r="F11" s="247" t="str">
        <f ca="1">'Risk Aggregation'!F12</f>
        <v/>
      </c>
      <c r="G11" s="286" t="str">
        <f t="shared" ca="1" si="3"/>
        <v>Area</v>
      </c>
      <c r="H11" s="286" t="str">
        <f t="shared" ca="1" si="4"/>
        <v/>
      </c>
      <c r="I11" s="247">
        <f t="shared" ca="1" si="5"/>
        <v>0</v>
      </c>
      <c r="J11" s="247">
        <f t="shared" ca="1" si="6"/>
        <v>0</v>
      </c>
      <c r="K11" s="247">
        <f t="shared" ca="1" si="7"/>
        <v>0</v>
      </c>
      <c r="L11" s="247" t="b">
        <f>'Risk Control'!E17</f>
        <v>0</v>
      </c>
      <c r="M11" s="247" t="b">
        <f>'Risk Control'!L17</f>
        <v>0</v>
      </c>
      <c r="N11" s="247" t="b">
        <f>'Risk Control'!S17</f>
        <v>0</v>
      </c>
      <c r="O11" s="247" t="b">
        <f>'Risk Control'!AA17</f>
        <v>0</v>
      </c>
      <c r="P11" s="247" t="b">
        <f>'Risk Control'!AI17</f>
        <v>0</v>
      </c>
      <c r="Q11" s="366">
        <f t="shared" si="8"/>
        <v>0</v>
      </c>
      <c r="R11" s="366">
        <f t="shared" ca="1" si="9"/>
        <v>0</v>
      </c>
      <c r="S11" s="366">
        <f t="shared" ca="1" si="10"/>
        <v>0</v>
      </c>
      <c r="T11" s="26">
        <f>'Top 10 Risks (Page 2)'!F18</f>
        <v>0</v>
      </c>
      <c r="U11" s="247">
        <f>'Top 10 Risks (Page 2)'!H18</f>
        <v>0</v>
      </c>
      <c r="V11" s="247">
        <f>'Top 10 Risks (Page 2)'!J18</f>
        <v>0</v>
      </c>
      <c r="W11" s="247" t="b">
        <f t="shared" ca="1" si="11"/>
        <v>0</v>
      </c>
      <c r="X11" s="247">
        <f t="shared" ca="1" si="12"/>
        <v>10</v>
      </c>
      <c r="Y11" s="247">
        <f t="shared" ca="1" si="13"/>
        <v>0</v>
      </c>
    </row>
    <row r="12" spans="1:25" ht="15" customHeight="1" x14ac:dyDescent="0.25">
      <c r="A12" s="286" t="str">
        <f t="shared" ca="1" si="0"/>
        <v>Company 111</v>
      </c>
      <c r="B12" s="247" t="str">
        <f t="shared" ca="1" si="1"/>
        <v/>
      </c>
      <c r="C12" s="247">
        <f t="shared" ca="1" si="2"/>
        <v>0</v>
      </c>
      <c r="D12" s="247" t="str">
        <f ca="1">'Risk Aggregation'!G13</f>
        <v/>
      </c>
      <c r="E12" s="247">
        <f ca="1">'Risk Aggregation'!H13</f>
        <v>0</v>
      </c>
      <c r="F12" s="247" t="str">
        <f ca="1">'Risk Aggregation'!F13</f>
        <v/>
      </c>
      <c r="G12" s="286" t="str">
        <f t="shared" ca="1" si="3"/>
        <v>Area</v>
      </c>
      <c r="H12" s="286" t="str">
        <f t="shared" ca="1" si="4"/>
        <v/>
      </c>
      <c r="I12" s="247">
        <f t="shared" ca="1" si="5"/>
        <v>0</v>
      </c>
      <c r="J12" s="247">
        <f t="shared" ca="1" si="6"/>
        <v>0</v>
      </c>
      <c r="K12" s="247">
        <f t="shared" ca="1" si="7"/>
        <v>0</v>
      </c>
      <c r="L12" s="247" t="b">
        <f>'Risk Control'!E18</f>
        <v>0</v>
      </c>
      <c r="M12" s="247" t="b">
        <f>'Risk Control'!L18</f>
        <v>0</v>
      </c>
      <c r="N12" s="247" t="b">
        <f>'Risk Control'!S18</f>
        <v>0</v>
      </c>
      <c r="O12" s="247" t="b">
        <f>'Risk Control'!AA18</f>
        <v>0</v>
      </c>
      <c r="P12" s="247" t="b">
        <f>'Risk Control'!AI18</f>
        <v>0</v>
      </c>
      <c r="Q12" s="366">
        <f t="shared" si="8"/>
        <v>0</v>
      </c>
      <c r="R12" s="366">
        <f t="shared" ca="1" si="9"/>
        <v>0</v>
      </c>
      <c r="S12" s="366">
        <f t="shared" ca="1" si="10"/>
        <v>0</v>
      </c>
      <c r="T12" s="26">
        <f>'Top 10 Risks (Page 2)'!F19</f>
        <v>0</v>
      </c>
      <c r="U12" s="247">
        <f>'Top 10 Risks (Page 2)'!H19</f>
        <v>0</v>
      </c>
      <c r="V12" s="247">
        <f>'Top 10 Risks (Page 2)'!J19</f>
        <v>0</v>
      </c>
      <c r="W12" s="247" t="b">
        <f t="shared" ca="1" si="11"/>
        <v>0</v>
      </c>
      <c r="X12" s="247">
        <f t="shared" ca="1" si="12"/>
        <v>11</v>
      </c>
      <c r="Y12" s="247">
        <f t="shared" ca="1" si="13"/>
        <v>0</v>
      </c>
    </row>
    <row r="13" spans="1:25" ht="15" customHeight="1" x14ac:dyDescent="0.25">
      <c r="A13" s="286" t="str">
        <f t="shared" ca="1" si="0"/>
        <v>Company 112</v>
      </c>
      <c r="B13" s="247" t="str">
        <f t="shared" ca="1" si="1"/>
        <v/>
      </c>
      <c r="C13" s="247">
        <f t="shared" ca="1" si="2"/>
        <v>0</v>
      </c>
      <c r="D13" s="247" t="str">
        <f ca="1">'Risk Aggregation'!G14</f>
        <v/>
      </c>
      <c r="E13" s="247">
        <f ca="1">'Risk Aggregation'!H14</f>
        <v>0</v>
      </c>
      <c r="F13" s="247" t="str">
        <f ca="1">'Risk Aggregation'!F14</f>
        <v/>
      </c>
      <c r="G13" s="286" t="str">
        <f t="shared" ca="1" si="3"/>
        <v>Area</v>
      </c>
      <c r="H13" s="286" t="str">
        <f t="shared" ca="1" si="4"/>
        <v/>
      </c>
      <c r="I13" s="247">
        <f t="shared" ca="1" si="5"/>
        <v>0</v>
      </c>
      <c r="J13" s="247">
        <f t="shared" ca="1" si="6"/>
        <v>0</v>
      </c>
      <c r="K13" s="247">
        <f t="shared" ca="1" si="7"/>
        <v>0</v>
      </c>
      <c r="L13" s="247" t="b">
        <f>'Risk Control'!E19</f>
        <v>0</v>
      </c>
      <c r="M13" s="247" t="b">
        <f>'Risk Control'!L19</f>
        <v>0</v>
      </c>
      <c r="N13" s="247" t="b">
        <f>'Risk Control'!S19</f>
        <v>0</v>
      </c>
      <c r="O13" s="247" t="b">
        <f>'Risk Control'!AA19</f>
        <v>0</v>
      </c>
      <c r="P13" s="247" t="b">
        <f>'Risk Control'!AI19</f>
        <v>0</v>
      </c>
      <c r="Q13" s="366">
        <f t="shared" si="8"/>
        <v>0</v>
      </c>
      <c r="R13" s="366">
        <f t="shared" ca="1" si="9"/>
        <v>0</v>
      </c>
      <c r="S13" s="366">
        <f t="shared" ca="1" si="10"/>
        <v>0</v>
      </c>
      <c r="T13" s="26">
        <f>'Top 10 Risks (Page 2)'!F20</f>
        <v>0</v>
      </c>
      <c r="U13" s="247">
        <f>'Top 10 Risks (Page 2)'!H20</f>
        <v>0</v>
      </c>
      <c r="V13" s="247">
        <f>'Top 10 Risks (Page 2)'!J20</f>
        <v>0</v>
      </c>
      <c r="W13" s="247" t="b">
        <f t="shared" ca="1" si="11"/>
        <v>0</v>
      </c>
      <c r="X13" s="247">
        <f t="shared" ca="1" si="12"/>
        <v>12</v>
      </c>
      <c r="Y13" s="247">
        <f t="shared" ca="1" si="13"/>
        <v>0</v>
      </c>
    </row>
    <row r="14" spans="1:25" ht="15" customHeight="1" x14ac:dyDescent="0.25">
      <c r="A14" s="286" t="str">
        <f t="shared" ca="1" si="0"/>
        <v>Company 113</v>
      </c>
      <c r="B14" s="247" t="str">
        <f t="shared" ca="1" si="1"/>
        <v/>
      </c>
      <c r="C14" s="247">
        <f t="shared" ca="1" si="2"/>
        <v>0</v>
      </c>
      <c r="D14" s="247" t="str">
        <f ca="1">'Risk Aggregation'!G15</f>
        <v/>
      </c>
      <c r="E14" s="247">
        <f ca="1">'Risk Aggregation'!H15</f>
        <v>0</v>
      </c>
      <c r="F14" s="247" t="str">
        <f ca="1">'Risk Aggregation'!F15</f>
        <v/>
      </c>
      <c r="G14" s="286" t="str">
        <f t="shared" ca="1" si="3"/>
        <v>Area</v>
      </c>
      <c r="H14" s="286" t="str">
        <f t="shared" ca="1" si="4"/>
        <v/>
      </c>
      <c r="I14" s="247">
        <f t="shared" ca="1" si="5"/>
        <v>0</v>
      </c>
      <c r="J14" s="247">
        <f t="shared" ca="1" si="6"/>
        <v>0</v>
      </c>
      <c r="K14" s="247">
        <f t="shared" ca="1" si="7"/>
        <v>0</v>
      </c>
      <c r="L14" s="247" t="b">
        <f>'Risk Control'!E20</f>
        <v>0</v>
      </c>
      <c r="M14" s="247" t="b">
        <f>'Risk Control'!L20</f>
        <v>0</v>
      </c>
      <c r="N14" s="247" t="b">
        <f>'Risk Control'!S20</f>
        <v>0</v>
      </c>
      <c r="O14" s="247" t="b">
        <f>'Risk Control'!AA20</f>
        <v>0</v>
      </c>
      <c r="P14" s="247" t="b">
        <f>'Risk Control'!AI20</f>
        <v>0</v>
      </c>
      <c r="Q14" s="366">
        <f t="shared" si="8"/>
        <v>0</v>
      </c>
      <c r="R14" s="366">
        <f t="shared" ca="1" si="9"/>
        <v>0</v>
      </c>
      <c r="S14" s="366">
        <f t="shared" ca="1" si="10"/>
        <v>0</v>
      </c>
      <c r="T14" s="26">
        <f>'Top 10 Risks (Page 2)'!F21</f>
        <v>0</v>
      </c>
      <c r="U14" s="247">
        <f>'Top 10 Risks (Page 2)'!H21</f>
        <v>0</v>
      </c>
      <c r="V14" s="247">
        <f>'Top 10 Risks (Page 2)'!J21</f>
        <v>0</v>
      </c>
      <c r="W14" s="247" t="b">
        <f t="shared" ca="1" si="11"/>
        <v>0</v>
      </c>
      <c r="X14" s="247">
        <f t="shared" ca="1" si="12"/>
        <v>13</v>
      </c>
      <c r="Y14" s="247">
        <f t="shared" ca="1" si="13"/>
        <v>0</v>
      </c>
    </row>
    <row r="15" spans="1:25" ht="15" customHeight="1" x14ac:dyDescent="0.25">
      <c r="A15" s="286" t="str">
        <f t="shared" ca="1" si="0"/>
        <v>Company 114</v>
      </c>
      <c r="B15" s="247" t="str">
        <f t="shared" ca="1" si="1"/>
        <v/>
      </c>
      <c r="C15" s="247">
        <f t="shared" ca="1" si="2"/>
        <v>0</v>
      </c>
      <c r="D15" s="247" t="str">
        <f ca="1">'Risk Aggregation'!G16</f>
        <v/>
      </c>
      <c r="E15" s="247">
        <f ca="1">'Risk Aggregation'!H16</f>
        <v>0</v>
      </c>
      <c r="F15" s="247" t="str">
        <f ca="1">'Risk Aggregation'!F16</f>
        <v/>
      </c>
      <c r="G15" s="286" t="str">
        <f t="shared" ca="1" si="3"/>
        <v>Area</v>
      </c>
      <c r="H15" s="286" t="str">
        <f t="shared" ca="1" si="4"/>
        <v/>
      </c>
      <c r="I15" s="247">
        <f t="shared" ca="1" si="5"/>
        <v>0</v>
      </c>
      <c r="J15" s="247">
        <f t="shared" ca="1" si="6"/>
        <v>0</v>
      </c>
      <c r="K15" s="247">
        <f t="shared" ca="1" si="7"/>
        <v>0</v>
      </c>
      <c r="L15" s="247" t="b">
        <f>'Risk Control'!E21</f>
        <v>0</v>
      </c>
      <c r="M15" s="247" t="b">
        <f>'Risk Control'!L21</f>
        <v>0</v>
      </c>
      <c r="N15" s="247" t="b">
        <f>'Risk Control'!S21</f>
        <v>0</v>
      </c>
      <c r="O15" s="247" t="b">
        <f>'Risk Control'!AA21</f>
        <v>0</v>
      </c>
      <c r="P15" s="247" t="b">
        <f>'Risk Control'!AI21</f>
        <v>0</v>
      </c>
      <c r="Q15" s="366">
        <f t="shared" si="8"/>
        <v>0</v>
      </c>
      <c r="R15" s="366">
        <f t="shared" ca="1" si="9"/>
        <v>0</v>
      </c>
      <c r="S15" s="366">
        <f t="shared" ca="1" si="10"/>
        <v>0</v>
      </c>
      <c r="T15" s="26">
        <f>'Top 10 Risks (Page 2)'!F22</f>
        <v>0</v>
      </c>
      <c r="U15" s="247">
        <f>'Top 10 Risks (Page 2)'!H22</f>
        <v>0</v>
      </c>
      <c r="V15" s="247">
        <f>'Top 10 Risks (Page 2)'!J22</f>
        <v>0</v>
      </c>
      <c r="W15" s="247" t="b">
        <f t="shared" ca="1" si="11"/>
        <v>0</v>
      </c>
      <c r="X15" s="247">
        <f t="shared" ca="1" si="12"/>
        <v>14</v>
      </c>
      <c r="Y15" s="247">
        <f t="shared" ca="1" si="13"/>
        <v>0</v>
      </c>
    </row>
    <row r="16" spans="1:25" ht="15" customHeight="1" x14ac:dyDescent="0.25">
      <c r="A16" s="286" t="str">
        <f t="shared" ca="1" si="0"/>
        <v>Company 115</v>
      </c>
      <c r="B16" s="247" t="str">
        <f t="shared" ca="1" si="1"/>
        <v/>
      </c>
      <c r="C16" s="247">
        <f t="shared" ca="1" si="2"/>
        <v>0</v>
      </c>
      <c r="D16" s="247" t="str">
        <f ca="1">'Risk Aggregation'!G17</f>
        <v/>
      </c>
      <c r="E16" s="247">
        <f ca="1">'Risk Aggregation'!H17</f>
        <v>0</v>
      </c>
      <c r="F16" s="247" t="str">
        <f ca="1">'Risk Aggregation'!F17</f>
        <v/>
      </c>
      <c r="G16" s="286" t="str">
        <f t="shared" ca="1" si="3"/>
        <v>Area</v>
      </c>
      <c r="H16" s="286" t="str">
        <f t="shared" ca="1" si="4"/>
        <v/>
      </c>
      <c r="I16" s="247">
        <f t="shared" ca="1" si="5"/>
        <v>0</v>
      </c>
      <c r="J16" s="247">
        <f t="shared" ca="1" si="6"/>
        <v>0</v>
      </c>
      <c r="K16" s="247">
        <f t="shared" ca="1" si="7"/>
        <v>0</v>
      </c>
      <c r="L16" s="247" t="b">
        <f>'Risk Control'!E22</f>
        <v>0</v>
      </c>
      <c r="M16" s="247" t="b">
        <f>'Risk Control'!L22</f>
        <v>0</v>
      </c>
      <c r="N16" s="247" t="b">
        <f>'Risk Control'!S22</f>
        <v>0</v>
      </c>
      <c r="O16" s="247" t="b">
        <f>'Risk Control'!AA22</f>
        <v>0</v>
      </c>
      <c r="P16" s="247" t="b">
        <f>'Risk Control'!AI22</f>
        <v>0</v>
      </c>
      <c r="Q16" s="366">
        <f t="shared" si="8"/>
        <v>0</v>
      </c>
      <c r="R16" s="366">
        <f t="shared" ca="1" si="9"/>
        <v>0</v>
      </c>
      <c r="S16" s="366">
        <f t="shared" ca="1" si="10"/>
        <v>0</v>
      </c>
      <c r="T16" s="26">
        <f>'Top 10 Risks (Page 2)'!F23</f>
        <v>0</v>
      </c>
      <c r="U16" s="247">
        <f>'Top 10 Risks (Page 2)'!H23</f>
        <v>0</v>
      </c>
      <c r="V16" s="247">
        <f>'Top 10 Risks (Page 2)'!J23</f>
        <v>0</v>
      </c>
      <c r="W16" s="247" t="b">
        <f t="shared" ca="1" si="11"/>
        <v>0</v>
      </c>
      <c r="X16" s="247">
        <f t="shared" ca="1" si="12"/>
        <v>15</v>
      </c>
      <c r="Y16" s="247">
        <f t="shared" ca="1" si="13"/>
        <v>0</v>
      </c>
    </row>
    <row r="17" spans="1:25" ht="15" customHeight="1" x14ac:dyDescent="0.25">
      <c r="A17" s="286" t="str">
        <f t="shared" ca="1" si="0"/>
        <v>Company 116</v>
      </c>
      <c r="B17" s="247" t="str">
        <f t="shared" ca="1" si="1"/>
        <v/>
      </c>
      <c r="C17" s="247">
        <f t="shared" ca="1" si="2"/>
        <v>0</v>
      </c>
      <c r="D17" s="247" t="str">
        <f ca="1">'Risk Aggregation'!G18</f>
        <v/>
      </c>
      <c r="E17" s="247">
        <f ca="1">'Risk Aggregation'!H18</f>
        <v>0</v>
      </c>
      <c r="F17" s="247" t="str">
        <f ca="1">'Risk Aggregation'!F18</f>
        <v/>
      </c>
      <c r="G17" s="286" t="str">
        <f t="shared" ca="1" si="3"/>
        <v>Area</v>
      </c>
      <c r="H17" s="286" t="str">
        <f t="shared" ca="1" si="4"/>
        <v/>
      </c>
      <c r="I17" s="247">
        <f t="shared" ca="1" si="5"/>
        <v>0</v>
      </c>
      <c r="J17" s="247">
        <f t="shared" ca="1" si="6"/>
        <v>0</v>
      </c>
      <c r="K17" s="247">
        <f t="shared" ca="1" si="7"/>
        <v>0</v>
      </c>
      <c r="L17" s="247" t="b">
        <f>'Risk Control'!E23</f>
        <v>0</v>
      </c>
      <c r="M17" s="247" t="b">
        <f>'Risk Control'!L23</f>
        <v>0</v>
      </c>
      <c r="N17" s="247" t="b">
        <f>'Risk Control'!S23</f>
        <v>0</v>
      </c>
      <c r="O17" s="247" t="b">
        <f>'Risk Control'!AA23</f>
        <v>0</v>
      </c>
      <c r="P17" s="247" t="b">
        <f>'Risk Control'!AI23</f>
        <v>0</v>
      </c>
      <c r="Q17" s="366">
        <f t="shared" si="8"/>
        <v>0</v>
      </c>
      <c r="R17" s="366">
        <f t="shared" ca="1" si="9"/>
        <v>0</v>
      </c>
      <c r="S17" s="366">
        <f t="shared" ca="1" si="10"/>
        <v>0</v>
      </c>
      <c r="T17" s="26">
        <f>'Top 10 Risks (Page 2)'!F24</f>
        <v>0</v>
      </c>
      <c r="U17" s="247">
        <f>'Top 10 Risks (Page 2)'!H24</f>
        <v>0</v>
      </c>
      <c r="V17" s="247">
        <f>'Top 10 Risks (Page 2)'!J24</f>
        <v>0</v>
      </c>
      <c r="W17" s="247" t="b">
        <f t="shared" ca="1" si="11"/>
        <v>0</v>
      </c>
      <c r="X17" s="247">
        <f t="shared" ca="1" si="12"/>
        <v>16</v>
      </c>
      <c r="Y17" s="247">
        <f t="shared" ca="1" si="13"/>
        <v>0</v>
      </c>
    </row>
    <row r="18" spans="1:25" ht="15" customHeight="1" x14ac:dyDescent="0.25">
      <c r="A18" s="286" t="str">
        <f t="shared" ca="1" si="0"/>
        <v>Company 117</v>
      </c>
      <c r="B18" s="247" t="str">
        <f t="shared" ca="1" si="1"/>
        <v/>
      </c>
      <c r="C18" s="247">
        <f t="shared" ca="1" si="2"/>
        <v>0</v>
      </c>
      <c r="D18" s="247" t="str">
        <f ca="1">'Risk Aggregation'!G19</f>
        <v/>
      </c>
      <c r="E18" s="247">
        <f ca="1">'Risk Aggregation'!H19</f>
        <v>0</v>
      </c>
      <c r="F18" s="247" t="str">
        <f ca="1">'Risk Aggregation'!F19</f>
        <v/>
      </c>
      <c r="G18" s="286" t="str">
        <f t="shared" ca="1" si="3"/>
        <v>Area</v>
      </c>
      <c r="H18" s="286" t="str">
        <f t="shared" ca="1" si="4"/>
        <v/>
      </c>
      <c r="I18" s="247">
        <f t="shared" ca="1" si="5"/>
        <v>0</v>
      </c>
      <c r="J18" s="247">
        <f t="shared" ca="1" si="6"/>
        <v>0</v>
      </c>
      <c r="K18" s="247">
        <f t="shared" ca="1" si="7"/>
        <v>0</v>
      </c>
      <c r="L18" s="247" t="b">
        <f>'Risk Control'!E24</f>
        <v>0</v>
      </c>
      <c r="M18" s="247" t="b">
        <f>'Risk Control'!L24</f>
        <v>0</v>
      </c>
      <c r="N18" s="247" t="b">
        <f>'Risk Control'!S24</f>
        <v>0</v>
      </c>
      <c r="O18" s="247" t="b">
        <f>'Risk Control'!AA24</f>
        <v>0</v>
      </c>
      <c r="P18" s="247" t="b">
        <f>'Risk Control'!AI24</f>
        <v>0</v>
      </c>
      <c r="Q18" s="366">
        <f t="shared" si="8"/>
        <v>0</v>
      </c>
      <c r="R18" s="366">
        <f t="shared" ca="1" si="9"/>
        <v>0</v>
      </c>
      <c r="S18" s="366">
        <f t="shared" ca="1" si="10"/>
        <v>0</v>
      </c>
      <c r="T18" s="26">
        <f>'Top 10 Risks (Page 2)'!F25</f>
        <v>0</v>
      </c>
      <c r="U18" s="247">
        <f>'Top 10 Risks (Page 2)'!H25</f>
        <v>0</v>
      </c>
      <c r="V18" s="247">
        <f>'Top 10 Risks (Page 2)'!J25</f>
        <v>0</v>
      </c>
      <c r="W18" s="247" t="b">
        <f t="shared" ca="1" si="11"/>
        <v>0</v>
      </c>
      <c r="X18" s="247">
        <f t="shared" ca="1" si="12"/>
        <v>17</v>
      </c>
      <c r="Y18" s="247">
        <f t="shared" ca="1" si="13"/>
        <v>0</v>
      </c>
    </row>
    <row r="19" spans="1:25" ht="15" customHeight="1" x14ac:dyDescent="0.25">
      <c r="A19" s="286" t="str">
        <f t="shared" ca="1" si="0"/>
        <v>Company 118</v>
      </c>
      <c r="B19" s="247" t="str">
        <f t="shared" ca="1" si="1"/>
        <v/>
      </c>
      <c r="C19" s="247">
        <f t="shared" ca="1" si="2"/>
        <v>0</v>
      </c>
      <c r="D19" s="247" t="str">
        <f ca="1">'Risk Aggregation'!G20</f>
        <v/>
      </c>
      <c r="E19" s="247">
        <f ca="1">'Risk Aggregation'!H20</f>
        <v>0</v>
      </c>
      <c r="F19" s="247" t="str">
        <f ca="1">'Risk Aggregation'!F20</f>
        <v/>
      </c>
      <c r="G19" s="286" t="str">
        <f t="shared" ca="1" si="3"/>
        <v>Area</v>
      </c>
      <c r="H19" s="286" t="str">
        <f t="shared" ca="1" si="4"/>
        <v/>
      </c>
      <c r="I19" s="247">
        <f t="shared" ca="1" si="5"/>
        <v>0</v>
      </c>
      <c r="J19" s="247">
        <f t="shared" ca="1" si="6"/>
        <v>0</v>
      </c>
      <c r="K19" s="247">
        <f t="shared" ca="1" si="7"/>
        <v>0</v>
      </c>
      <c r="L19" s="247" t="b">
        <f>'Risk Control'!E25</f>
        <v>0</v>
      </c>
      <c r="M19" s="247" t="b">
        <f>'Risk Control'!L25</f>
        <v>0</v>
      </c>
      <c r="N19" s="247" t="b">
        <f>'Risk Control'!S25</f>
        <v>0</v>
      </c>
      <c r="O19" s="247" t="b">
        <f>'Risk Control'!AA25</f>
        <v>0</v>
      </c>
      <c r="P19" s="247" t="b">
        <f>'Risk Control'!AI25</f>
        <v>0</v>
      </c>
      <c r="Q19" s="366">
        <f t="shared" si="8"/>
        <v>0</v>
      </c>
      <c r="R19" s="366">
        <f t="shared" ca="1" si="9"/>
        <v>0</v>
      </c>
      <c r="S19" s="366">
        <f t="shared" ca="1" si="10"/>
        <v>0</v>
      </c>
      <c r="T19" s="26">
        <f>'Top 10 Risks (Page 2)'!F26</f>
        <v>0</v>
      </c>
      <c r="U19" s="247">
        <f>'Top 10 Risks (Page 2)'!H26</f>
        <v>0</v>
      </c>
      <c r="V19" s="247">
        <f>'Top 10 Risks (Page 2)'!J26</f>
        <v>0</v>
      </c>
      <c r="W19" s="247" t="b">
        <f t="shared" ca="1" si="11"/>
        <v>0</v>
      </c>
      <c r="X19" s="247">
        <f t="shared" ca="1" si="12"/>
        <v>18</v>
      </c>
      <c r="Y19" s="247">
        <f t="shared" ca="1" si="13"/>
        <v>0</v>
      </c>
    </row>
    <row r="20" spans="1:25" ht="15" customHeight="1" x14ac:dyDescent="0.25">
      <c r="A20" s="286" t="str">
        <f t="shared" ca="1" si="0"/>
        <v>Company 119</v>
      </c>
      <c r="B20" s="247" t="str">
        <f t="shared" ca="1" si="1"/>
        <v/>
      </c>
      <c r="C20" s="247">
        <f t="shared" ca="1" si="2"/>
        <v>0</v>
      </c>
      <c r="D20" s="247" t="str">
        <f ca="1">'Risk Aggregation'!G21</f>
        <v/>
      </c>
      <c r="E20" s="247">
        <f ca="1">'Risk Aggregation'!H21</f>
        <v>0</v>
      </c>
      <c r="F20" s="247" t="str">
        <f ca="1">'Risk Aggregation'!F21</f>
        <v/>
      </c>
      <c r="G20" s="286" t="str">
        <f t="shared" ca="1" si="3"/>
        <v>Area</v>
      </c>
      <c r="H20" s="286" t="str">
        <f t="shared" ca="1" si="4"/>
        <v/>
      </c>
      <c r="I20" s="247">
        <f t="shared" ca="1" si="5"/>
        <v>0</v>
      </c>
      <c r="J20" s="247">
        <f t="shared" ca="1" si="6"/>
        <v>0</v>
      </c>
      <c r="K20" s="247">
        <f t="shared" ca="1" si="7"/>
        <v>0</v>
      </c>
      <c r="L20" s="247" t="b">
        <f>'Risk Control'!E26</f>
        <v>0</v>
      </c>
      <c r="M20" s="247" t="b">
        <f>'Risk Control'!L26</f>
        <v>0</v>
      </c>
      <c r="N20" s="247" t="b">
        <f>'Risk Control'!S26</f>
        <v>0</v>
      </c>
      <c r="O20" s="247" t="b">
        <f>'Risk Control'!AA26</f>
        <v>0</v>
      </c>
      <c r="P20" s="247" t="b">
        <f>'Risk Control'!AI26</f>
        <v>0</v>
      </c>
      <c r="Q20" s="366">
        <f t="shared" si="8"/>
        <v>0</v>
      </c>
      <c r="R20" s="366">
        <f t="shared" ca="1" si="9"/>
        <v>0</v>
      </c>
      <c r="S20" s="366">
        <f t="shared" ca="1" si="10"/>
        <v>0</v>
      </c>
      <c r="T20" s="26">
        <f>'Top 10 Risks (Page 2)'!F27</f>
        <v>0</v>
      </c>
      <c r="U20" s="247">
        <f>'Top 10 Risks (Page 2)'!H27</f>
        <v>0</v>
      </c>
      <c r="V20" s="247">
        <f>'Top 10 Risks (Page 2)'!J27</f>
        <v>0</v>
      </c>
      <c r="W20" s="247" t="b">
        <f t="shared" ca="1" si="11"/>
        <v>0</v>
      </c>
      <c r="X20" s="247">
        <f t="shared" ca="1" si="12"/>
        <v>19</v>
      </c>
      <c r="Y20" s="247">
        <f t="shared" ca="1" si="13"/>
        <v>0</v>
      </c>
    </row>
    <row r="21" spans="1:25" ht="15" customHeight="1" x14ac:dyDescent="0.25">
      <c r="A21" s="286" t="str">
        <f t="shared" ca="1" si="0"/>
        <v>Company 120</v>
      </c>
      <c r="B21" s="247" t="str">
        <f t="shared" ca="1" si="1"/>
        <v/>
      </c>
      <c r="C21" s="247">
        <f t="shared" ca="1" si="2"/>
        <v>0</v>
      </c>
      <c r="D21" s="247" t="str">
        <f ca="1">'Risk Aggregation'!G22</f>
        <v/>
      </c>
      <c r="E21" s="247">
        <f ca="1">'Risk Aggregation'!H22</f>
        <v>0</v>
      </c>
      <c r="F21" s="247" t="str">
        <f ca="1">'Risk Aggregation'!F22</f>
        <v/>
      </c>
      <c r="G21" s="286" t="str">
        <f t="shared" ca="1" si="3"/>
        <v>Area</v>
      </c>
      <c r="H21" s="286" t="str">
        <f t="shared" ca="1" si="4"/>
        <v/>
      </c>
      <c r="I21" s="247">
        <f t="shared" ca="1" si="5"/>
        <v>0</v>
      </c>
      <c r="J21" s="247">
        <f t="shared" ca="1" si="6"/>
        <v>0</v>
      </c>
      <c r="K21" s="247">
        <f t="shared" ca="1" si="7"/>
        <v>0</v>
      </c>
      <c r="L21" s="247" t="b">
        <f>'Risk Control'!E27</f>
        <v>0</v>
      </c>
      <c r="M21" s="247" t="b">
        <f>'Risk Control'!L27</f>
        <v>0</v>
      </c>
      <c r="N21" s="247" t="b">
        <f>'Risk Control'!S27</f>
        <v>0</v>
      </c>
      <c r="O21" s="247" t="b">
        <f>'Risk Control'!AA27</f>
        <v>0</v>
      </c>
      <c r="P21" s="247" t="b">
        <f>'Risk Control'!AI27</f>
        <v>0</v>
      </c>
      <c r="Q21" s="366">
        <f t="shared" si="8"/>
        <v>0</v>
      </c>
      <c r="R21" s="366">
        <f t="shared" ca="1" si="9"/>
        <v>0</v>
      </c>
      <c r="S21" s="366">
        <f t="shared" ca="1" si="10"/>
        <v>0</v>
      </c>
      <c r="T21" s="26">
        <f>'Top 10 Risks (Page 2)'!F28</f>
        <v>0</v>
      </c>
      <c r="U21" s="247">
        <f>'Top 10 Risks (Page 2)'!H28</f>
        <v>0</v>
      </c>
      <c r="V21" s="247">
        <f>'Top 10 Risks (Page 2)'!J28</f>
        <v>0</v>
      </c>
      <c r="W21" s="247" t="b">
        <f t="shared" ca="1" si="11"/>
        <v>0</v>
      </c>
      <c r="X21" s="247">
        <f t="shared" ca="1" si="12"/>
        <v>20</v>
      </c>
      <c r="Y21" s="247">
        <f t="shared" ca="1" si="13"/>
        <v>0</v>
      </c>
    </row>
    <row r="22" spans="1:25" ht="15" customHeight="1" x14ac:dyDescent="0.25">
      <c r="A22" s="286" t="str">
        <f t="shared" ca="1" si="0"/>
        <v>Company 121</v>
      </c>
      <c r="B22" s="247" t="str">
        <f t="shared" ca="1" si="1"/>
        <v/>
      </c>
      <c r="C22" s="247">
        <f t="shared" ca="1" si="2"/>
        <v>0</v>
      </c>
      <c r="D22" s="247" t="str">
        <f ca="1">'Risk Aggregation'!G23</f>
        <v/>
      </c>
      <c r="E22" s="247">
        <f ca="1">'Risk Aggregation'!H23</f>
        <v>0</v>
      </c>
      <c r="F22" s="247" t="str">
        <f ca="1">'Risk Aggregation'!F23</f>
        <v/>
      </c>
      <c r="G22" s="286" t="str">
        <f t="shared" ca="1" si="3"/>
        <v>Area</v>
      </c>
      <c r="H22" s="286" t="str">
        <f t="shared" ca="1" si="4"/>
        <v/>
      </c>
      <c r="I22" s="247">
        <f t="shared" ca="1" si="5"/>
        <v>0</v>
      </c>
      <c r="J22" s="247">
        <f t="shared" ca="1" si="6"/>
        <v>0</v>
      </c>
      <c r="K22" s="247">
        <f t="shared" ca="1" si="7"/>
        <v>0</v>
      </c>
      <c r="L22" s="247" t="b">
        <f>'Risk Control'!E28</f>
        <v>0</v>
      </c>
      <c r="M22" s="247" t="b">
        <f>'Risk Control'!L28</f>
        <v>0</v>
      </c>
      <c r="N22" s="247" t="b">
        <f>'Risk Control'!S28</f>
        <v>0</v>
      </c>
      <c r="O22" s="247" t="b">
        <f>'Risk Control'!AA28</f>
        <v>0</v>
      </c>
      <c r="P22" s="247" t="b">
        <f>'Risk Control'!AI28</f>
        <v>0</v>
      </c>
      <c r="Q22" s="366">
        <f t="shared" si="8"/>
        <v>0</v>
      </c>
      <c r="R22" s="366">
        <f t="shared" ca="1" si="9"/>
        <v>0</v>
      </c>
      <c r="S22" s="366">
        <f t="shared" ca="1" si="10"/>
        <v>0</v>
      </c>
      <c r="T22" s="26">
        <f>'Top 10 Risks (Page 2)'!F29</f>
        <v>0</v>
      </c>
      <c r="U22" s="247">
        <f>'Top 10 Risks (Page 2)'!H29</f>
        <v>0</v>
      </c>
      <c r="V22" s="247">
        <f>'Top 10 Risks (Page 2)'!J29</f>
        <v>0</v>
      </c>
      <c r="W22" s="247" t="b">
        <f t="shared" ca="1" si="11"/>
        <v>0</v>
      </c>
      <c r="X22" s="247">
        <f t="shared" ca="1" si="12"/>
        <v>21</v>
      </c>
      <c r="Y22" s="247">
        <f t="shared" ca="1" si="13"/>
        <v>0</v>
      </c>
    </row>
    <row r="23" spans="1:25" ht="15" customHeight="1" x14ac:dyDescent="0.25">
      <c r="A23" s="286" t="str">
        <f t="shared" ca="1" si="0"/>
        <v>Company 122</v>
      </c>
      <c r="B23" s="247" t="str">
        <f t="shared" ca="1" si="1"/>
        <v/>
      </c>
      <c r="C23" s="247">
        <f t="shared" ca="1" si="2"/>
        <v>0</v>
      </c>
      <c r="D23" s="247" t="str">
        <f ca="1">'Risk Aggregation'!G24</f>
        <v/>
      </c>
      <c r="E23" s="247">
        <f ca="1">'Risk Aggregation'!H24</f>
        <v>0</v>
      </c>
      <c r="F23" s="247" t="str">
        <f ca="1">'Risk Aggregation'!F24</f>
        <v/>
      </c>
      <c r="G23" s="286" t="str">
        <f t="shared" ca="1" si="3"/>
        <v>Area</v>
      </c>
      <c r="H23" s="286" t="str">
        <f t="shared" ca="1" si="4"/>
        <v/>
      </c>
      <c r="I23" s="247">
        <f t="shared" ca="1" si="5"/>
        <v>0</v>
      </c>
      <c r="J23" s="247">
        <f t="shared" ca="1" si="6"/>
        <v>0</v>
      </c>
      <c r="K23" s="247">
        <f t="shared" ca="1" si="7"/>
        <v>0</v>
      </c>
      <c r="L23" s="247" t="b">
        <f>'Risk Control'!E29</f>
        <v>0</v>
      </c>
      <c r="M23" s="247" t="b">
        <f>'Risk Control'!L29</f>
        <v>0</v>
      </c>
      <c r="N23" s="247" t="b">
        <f>'Risk Control'!S29</f>
        <v>0</v>
      </c>
      <c r="O23" s="247" t="b">
        <f>'Risk Control'!AA29</f>
        <v>0</v>
      </c>
      <c r="P23" s="247" t="b">
        <f>'Risk Control'!AI29</f>
        <v>0</v>
      </c>
      <c r="Q23" s="366">
        <f t="shared" si="8"/>
        <v>0</v>
      </c>
      <c r="R23" s="366">
        <f t="shared" ca="1" si="9"/>
        <v>0</v>
      </c>
      <c r="S23" s="366">
        <f t="shared" ca="1" si="10"/>
        <v>0</v>
      </c>
      <c r="T23" s="26">
        <f>'Top 10 Risks (Page 2)'!F30</f>
        <v>0</v>
      </c>
      <c r="U23" s="247">
        <f>'Top 10 Risks (Page 2)'!H30</f>
        <v>0</v>
      </c>
      <c r="V23" s="247">
        <f>'Top 10 Risks (Page 2)'!J30</f>
        <v>0</v>
      </c>
      <c r="W23" s="247" t="b">
        <f t="shared" ca="1" si="11"/>
        <v>0</v>
      </c>
      <c r="X23" s="247">
        <f t="shared" ca="1" si="12"/>
        <v>22</v>
      </c>
      <c r="Y23" s="247">
        <f t="shared" ca="1" si="13"/>
        <v>0</v>
      </c>
    </row>
    <row r="24" spans="1:25" ht="15" customHeight="1" x14ac:dyDescent="0.25">
      <c r="A24" s="286" t="str">
        <f t="shared" ca="1" si="0"/>
        <v>Company 123</v>
      </c>
      <c r="B24" s="247" t="str">
        <f t="shared" ca="1" si="1"/>
        <v/>
      </c>
      <c r="C24" s="247">
        <f t="shared" ca="1" si="2"/>
        <v>0</v>
      </c>
      <c r="D24" s="247" t="str">
        <f ca="1">'Risk Aggregation'!G25</f>
        <v/>
      </c>
      <c r="E24" s="247">
        <f ca="1">'Risk Aggregation'!H25</f>
        <v>0</v>
      </c>
      <c r="F24" s="247" t="str">
        <f ca="1">'Risk Aggregation'!F25</f>
        <v/>
      </c>
      <c r="G24" s="286" t="str">
        <f t="shared" ca="1" si="3"/>
        <v>Area</v>
      </c>
      <c r="H24" s="286" t="str">
        <f t="shared" ca="1" si="4"/>
        <v/>
      </c>
      <c r="I24" s="247">
        <f t="shared" ca="1" si="5"/>
        <v>0</v>
      </c>
      <c r="J24" s="247">
        <f t="shared" ca="1" si="6"/>
        <v>0</v>
      </c>
      <c r="K24" s="247">
        <f t="shared" ca="1" si="7"/>
        <v>0</v>
      </c>
      <c r="L24" s="247" t="b">
        <f>'Risk Control'!E30</f>
        <v>0</v>
      </c>
      <c r="M24" s="247" t="b">
        <f>'Risk Control'!L30</f>
        <v>0</v>
      </c>
      <c r="N24" s="247" t="b">
        <f>'Risk Control'!S30</f>
        <v>0</v>
      </c>
      <c r="O24" s="247" t="b">
        <f>'Risk Control'!AA30</f>
        <v>0</v>
      </c>
      <c r="P24" s="247" t="b">
        <f>'Risk Control'!AI30</f>
        <v>0</v>
      </c>
      <c r="Q24" s="366">
        <f t="shared" si="8"/>
        <v>0</v>
      </c>
      <c r="R24" s="366">
        <f t="shared" ca="1" si="9"/>
        <v>0</v>
      </c>
      <c r="S24" s="366">
        <f t="shared" ca="1" si="10"/>
        <v>0</v>
      </c>
      <c r="T24" s="26">
        <f>'Top 10 Risks (Page 2)'!F31</f>
        <v>0</v>
      </c>
      <c r="U24" s="247">
        <f>'Top 10 Risks (Page 2)'!H31</f>
        <v>0</v>
      </c>
      <c r="V24" s="247">
        <f>'Top 10 Risks (Page 2)'!J31</f>
        <v>0</v>
      </c>
      <c r="W24" s="247" t="b">
        <f t="shared" ca="1" si="11"/>
        <v>0</v>
      </c>
      <c r="X24" s="247">
        <f t="shared" ca="1" si="12"/>
        <v>23</v>
      </c>
      <c r="Y24" s="247">
        <f t="shared" ca="1" si="13"/>
        <v>0</v>
      </c>
    </row>
    <row r="25" spans="1:25" ht="15" customHeight="1" x14ac:dyDescent="0.25">
      <c r="A25" s="286" t="str">
        <f t="shared" ca="1" si="0"/>
        <v>Company 124</v>
      </c>
      <c r="B25" s="247" t="str">
        <f t="shared" ca="1" si="1"/>
        <v/>
      </c>
      <c r="C25" s="247">
        <f t="shared" ca="1" si="2"/>
        <v>0</v>
      </c>
      <c r="D25" s="247" t="str">
        <f ca="1">'Risk Aggregation'!G26</f>
        <v/>
      </c>
      <c r="E25" s="247">
        <f ca="1">'Risk Aggregation'!H26</f>
        <v>0</v>
      </c>
      <c r="F25" s="247" t="str">
        <f ca="1">'Risk Aggregation'!F26</f>
        <v/>
      </c>
      <c r="G25" s="286" t="str">
        <f t="shared" ca="1" si="3"/>
        <v>Area</v>
      </c>
      <c r="H25" s="286" t="str">
        <f t="shared" ca="1" si="4"/>
        <v/>
      </c>
      <c r="I25" s="247">
        <f t="shared" ca="1" si="5"/>
        <v>0</v>
      </c>
      <c r="J25" s="247">
        <f t="shared" ca="1" si="6"/>
        <v>0</v>
      </c>
      <c r="K25" s="247">
        <f t="shared" ca="1" si="7"/>
        <v>0</v>
      </c>
      <c r="L25" s="247" t="b">
        <f>'Risk Control'!E31</f>
        <v>0</v>
      </c>
      <c r="M25" s="247" t="b">
        <f>'Risk Control'!L31</f>
        <v>0</v>
      </c>
      <c r="N25" s="247" t="b">
        <f>'Risk Control'!S31</f>
        <v>0</v>
      </c>
      <c r="O25" s="247" t="b">
        <f>'Risk Control'!AA31</f>
        <v>0</v>
      </c>
      <c r="P25" s="247" t="b">
        <f>'Risk Control'!AI31</f>
        <v>0</v>
      </c>
      <c r="Q25" s="366">
        <f t="shared" si="8"/>
        <v>0</v>
      </c>
      <c r="R25" s="366">
        <f t="shared" ca="1" si="9"/>
        <v>0</v>
      </c>
      <c r="S25" s="366">
        <f t="shared" ca="1" si="10"/>
        <v>0</v>
      </c>
      <c r="T25" s="26">
        <f>'Top 10 Risks (Page 2)'!F32</f>
        <v>0</v>
      </c>
      <c r="U25" s="247">
        <f>'Top 10 Risks (Page 2)'!H32</f>
        <v>0</v>
      </c>
      <c r="V25" s="247">
        <f>'Top 10 Risks (Page 2)'!J32</f>
        <v>0</v>
      </c>
      <c r="W25" s="247" t="b">
        <f t="shared" ca="1" si="11"/>
        <v>0</v>
      </c>
      <c r="X25" s="247">
        <f t="shared" ca="1" si="12"/>
        <v>24</v>
      </c>
      <c r="Y25" s="247">
        <f t="shared" ca="1" si="13"/>
        <v>0</v>
      </c>
    </row>
    <row r="26" spans="1:25" ht="15" customHeight="1" x14ac:dyDescent="0.25">
      <c r="A26" s="286" t="str">
        <f t="shared" ca="1" si="0"/>
        <v>Company 125</v>
      </c>
      <c r="B26" s="247" t="str">
        <f t="shared" ca="1" si="1"/>
        <v/>
      </c>
      <c r="C26" s="247">
        <f t="shared" ca="1" si="2"/>
        <v>0</v>
      </c>
      <c r="D26" s="247" t="str">
        <f ca="1">'Risk Aggregation'!G27</f>
        <v/>
      </c>
      <c r="E26" s="247">
        <f ca="1">'Risk Aggregation'!H27</f>
        <v>0</v>
      </c>
      <c r="F26" s="247" t="str">
        <f ca="1">'Risk Aggregation'!F27</f>
        <v/>
      </c>
      <c r="G26" s="286" t="str">
        <f t="shared" ca="1" si="3"/>
        <v>Area</v>
      </c>
      <c r="H26" s="286" t="str">
        <f t="shared" ca="1" si="4"/>
        <v/>
      </c>
      <c r="I26" s="247">
        <f t="shared" ca="1" si="5"/>
        <v>0</v>
      </c>
      <c r="J26" s="247">
        <f t="shared" ca="1" si="6"/>
        <v>0</v>
      </c>
      <c r="K26" s="247">
        <f t="shared" ca="1" si="7"/>
        <v>0</v>
      </c>
      <c r="L26" s="247" t="b">
        <f>'Risk Control'!E32</f>
        <v>0</v>
      </c>
      <c r="M26" s="247" t="b">
        <f>'Risk Control'!L32</f>
        <v>0</v>
      </c>
      <c r="N26" s="247" t="b">
        <f>'Risk Control'!S32</f>
        <v>0</v>
      </c>
      <c r="O26" s="247" t="b">
        <f>'Risk Control'!AA32</f>
        <v>0</v>
      </c>
      <c r="P26" s="247" t="b">
        <f>'Risk Control'!AI32</f>
        <v>0</v>
      </c>
      <c r="Q26" s="366">
        <f t="shared" si="8"/>
        <v>0</v>
      </c>
      <c r="R26" s="366">
        <f t="shared" ca="1" si="9"/>
        <v>0</v>
      </c>
      <c r="S26" s="366">
        <f t="shared" ca="1" si="10"/>
        <v>0</v>
      </c>
      <c r="T26" s="26">
        <f>'Top 10 Risks (Page 2)'!F33</f>
        <v>0</v>
      </c>
      <c r="U26" s="247">
        <f>'Top 10 Risks (Page 2)'!H33</f>
        <v>0</v>
      </c>
      <c r="V26" s="247">
        <f>'Top 10 Risks (Page 2)'!J33</f>
        <v>0</v>
      </c>
      <c r="W26" s="247" t="b">
        <f t="shared" ca="1" si="11"/>
        <v>0</v>
      </c>
      <c r="X26" s="247">
        <f t="shared" ca="1" si="12"/>
        <v>25</v>
      </c>
      <c r="Y26" s="247">
        <f t="shared" ca="1" si="13"/>
        <v>0</v>
      </c>
    </row>
    <row r="27" spans="1:25" ht="15" customHeight="1" x14ac:dyDescent="0.25">
      <c r="A27" s="286" t="str">
        <f t="shared" ca="1" si="0"/>
        <v>Company 126</v>
      </c>
      <c r="B27" s="247" t="str">
        <f t="shared" ca="1" si="1"/>
        <v/>
      </c>
      <c r="C27" s="247">
        <f t="shared" ca="1" si="2"/>
        <v>0</v>
      </c>
      <c r="D27" s="247" t="str">
        <f ca="1">'Risk Aggregation'!G28</f>
        <v/>
      </c>
      <c r="E27" s="247">
        <f ca="1">'Risk Aggregation'!H28</f>
        <v>0</v>
      </c>
      <c r="F27" s="247" t="str">
        <f ca="1">'Risk Aggregation'!F28</f>
        <v/>
      </c>
      <c r="G27" s="286" t="str">
        <f t="shared" ca="1" si="3"/>
        <v>Area</v>
      </c>
      <c r="H27" s="286" t="str">
        <f t="shared" ca="1" si="4"/>
        <v/>
      </c>
      <c r="I27" s="247">
        <f t="shared" ca="1" si="5"/>
        <v>0</v>
      </c>
      <c r="J27" s="247">
        <f t="shared" ca="1" si="6"/>
        <v>0</v>
      </c>
      <c r="K27" s="247">
        <f t="shared" ca="1" si="7"/>
        <v>0</v>
      </c>
      <c r="L27" s="247" t="b">
        <f>'Risk Control'!E33</f>
        <v>0</v>
      </c>
      <c r="M27" s="247" t="b">
        <f>'Risk Control'!L33</f>
        <v>0</v>
      </c>
      <c r="N27" s="247" t="b">
        <f>'Risk Control'!S33</f>
        <v>0</v>
      </c>
      <c r="O27" s="247" t="b">
        <f>'Risk Control'!AA33</f>
        <v>0</v>
      </c>
      <c r="P27" s="247" t="b">
        <f>'Risk Control'!AI33</f>
        <v>0</v>
      </c>
      <c r="Q27" s="366">
        <f t="shared" si="8"/>
        <v>0</v>
      </c>
      <c r="R27" s="366">
        <f t="shared" ca="1" si="9"/>
        <v>0</v>
      </c>
      <c r="S27" s="366">
        <f t="shared" ca="1" si="10"/>
        <v>0</v>
      </c>
      <c r="T27" s="26">
        <f>'Top 10 Risks (Page 2)'!F34</f>
        <v>0</v>
      </c>
      <c r="U27" s="247">
        <f>'Top 10 Risks (Page 2)'!H34</f>
        <v>0</v>
      </c>
      <c r="V27" s="247">
        <f>'Top 10 Risks (Page 2)'!J34</f>
        <v>0</v>
      </c>
      <c r="W27" s="247" t="b">
        <f t="shared" ca="1" si="11"/>
        <v>0</v>
      </c>
      <c r="X27" s="247">
        <f t="shared" ca="1" si="12"/>
        <v>26</v>
      </c>
      <c r="Y27" s="247">
        <f t="shared" ca="1" si="13"/>
        <v>0</v>
      </c>
    </row>
    <row r="28" spans="1:25" ht="15" customHeight="1" x14ac:dyDescent="0.25">
      <c r="A28" s="286" t="str">
        <f t="shared" ca="1" si="0"/>
        <v>Company 127</v>
      </c>
      <c r="B28" s="247" t="str">
        <f t="shared" ca="1" si="1"/>
        <v/>
      </c>
      <c r="C28" s="247">
        <f t="shared" ca="1" si="2"/>
        <v>0</v>
      </c>
      <c r="D28" s="247" t="str">
        <f ca="1">'Risk Aggregation'!G29</f>
        <v/>
      </c>
      <c r="E28" s="247">
        <f ca="1">'Risk Aggregation'!H29</f>
        <v>0</v>
      </c>
      <c r="F28" s="247" t="str">
        <f ca="1">'Risk Aggregation'!F29</f>
        <v/>
      </c>
      <c r="G28" s="286" t="str">
        <f t="shared" ca="1" si="3"/>
        <v>Area</v>
      </c>
      <c r="H28" s="286" t="str">
        <f t="shared" ca="1" si="4"/>
        <v/>
      </c>
      <c r="I28" s="247">
        <f t="shared" ca="1" si="5"/>
        <v>0</v>
      </c>
      <c r="J28" s="247">
        <f t="shared" ca="1" si="6"/>
        <v>0</v>
      </c>
      <c r="K28" s="247">
        <f t="shared" ca="1" si="7"/>
        <v>0</v>
      </c>
      <c r="L28" s="247" t="b">
        <f>'Risk Control'!E34</f>
        <v>0</v>
      </c>
      <c r="M28" s="247" t="b">
        <f>'Risk Control'!L34</f>
        <v>0</v>
      </c>
      <c r="N28" s="247" t="b">
        <f>'Risk Control'!S34</f>
        <v>0</v>
      </c>
      <c r="O28" s="247" t="b">
        <f>'Risk Control'!AA34</f>
        <v>0</v>
      </c>
      <c r="P28" s="247" t="b">
        <f>'Risk Control'!AI34</f>
        <v>0</v>
      </c>
      <c r="Q28" s="366">
        <f t="shared" si="8"/>
        <v>0</v>
      </c>
      <c r="R28" s="366">
        <f t="shared" ca="1" si="9"/>
        <v>0</v>
      </c>
      <c r="S28" s="366">
        <f t="shared" ca="1" si="10"/>
        <v>0</v>
      </c>
      <c r="T28" s="26">
        <f>'Top 10 Risks (Page 2)'!F35</f>
        <v>0</v>
      </c>
      <c r="U28" s="247">
        <f>'Top 10 Risks (Page 2)'!H35</f>
        <v>0</v>
      </c>
      <c r="V28" s="247">
        <f>'Top 10 Risks (Page 2)'!J35</f>
        <v>0</v>
      </c>
      <c r="W28" s="247" t="b">
        <f t="shared" ca="1" si="11"/>
        <v>0</v>
      </c>
      <c r="X28" s="247">
        <f t="shared" ca="1" si="12"/>
        <v>27</v>
      </c>
      <c r="Y28" s="247">
        <f t="shared" ca="1" si="13"/>
        <v>0</v>
      </c>
    </row>
    <row r="29" spans="1:25" ht="15" customHeight="1" x14ac:dyDescent="0.25">
      <c r="A29" s="286" t="str">
        <f t="shared" ca="1" si="0"/>
        <v>Company 128</v>
      </c>
      <c r="B29" s="247" t="str">
        <f t="shared" ca="1" si="1"/>
        <v/>
      </c>
      <c r="C29" s="247">
        <f t="shared" ca="1" si="2"/>
        <v>0</v>
      </c>
      <c r="D29" s="247" t="str">
        <f ca="1">'Risk Aggregation'!G30</f>
        <v/>
      </c>
      <c r="E29" s="247">
        <f ca="1">'Risk Aggregation'!H30</f>
        <v>0</v>
      </c>
      <c r="F29" s="247" t="str">
        <f ca="1">'Risk Aggregation'!F30</f>
        <v/>
      </c>
      <c r="G29" s="286" t="str">
        <f t="shared" ca="1" si="3"/>
        <v>Area</v>
      </c>
      <c r="H29" s="286" t="str">
        <f t="shared" ca="1" si="4"/>
        <v/>
      </c>
      <c r="I29" s="247">
        <f t="shared" ca="1" si="5"/>
        <v>0</v>
      </c>
      <c r="J29" s="247">
        <f t="shared" ca="1" si="6"/>
        <v>0</v>
      </c>
      <c r="K29" s="247">
        <f t="shared" ca="1" si="7"/>
        <v>0</v>
      </c>
      <c r="L29" s="247" t="b">
        <f>'Risk Control'!E35</f>
        <v>0</v>
      </c>
      <c r="M29" s="247" t="b">
        <f>'Risk Control'!L35</f>
        <v>0</v>
      </c>
      <c r="N29" s="247" t="b">
        <f>'Risk Control'!S35</f>
        <v>0</v>
      </c>
      <c r="O29" s="247" t="b">
        <f>'Risk Control'!AA35</f>
        <v>0</v>
      </c>
      <c r="P29" s="247" t="b">
        <f>'Risk Control'!AI35</f>
        <v>0</v>
      </c>
      <c r="Q29" s="366">
        <f t="shared" si="8"/>
        <v>0</v>
      </c>
      <c r="R29" s="366">
        <f t="shared" ca="1" si="9"/>
        <v>0</v>
      </c>
      <c r="S29" s="366">
        <f t="shared" ca="1" si="10"/>
        <v>0</v>
      </c>
      <c r="T29" s="26">
        <f>'Top 10 Risks (Page 2)'!F36</f>
        <v>0</v>
      </c>
      <c r="U29" s="247">
        <f>'Top 10 Risks (Page 2)'!H36</f>
        <v>0</v>
      </c>
      <c r="V29" s="247">
        <f>'Top 10 Risks (Page 2)'!J36</f>
        <v>0</v>
      </c>
      <c r="W29" s="247" t="b">
        <f t="shared" ca="1" si="11"/>
        <v>0</v>
      </c>
      <c r="X29" s="247">
        <f t="shared" ca="1" si="12"/>
        <v>28</v>
      </c>
      <c r="Y29" s="247">
        <f t="shared" ca="1" si="13"/>
        <v>0</v>
      </c>
    </row>
    <row r="30" spans="1:25" ht="15" customHeight="1" x14ac:dyDescent="0.25">
      <c r="A30" s="286" t="str">
        <f t="shared" ca="1" si="0"/>
        <v>Company 129</v>
      </c>
      <c r="B30" s="247" t="str">
        <f t="shared" ca="1" si="1"/>
        <v/>
      </c>
      <c r="C30" s="247">
        <f t="shared" ca="1" si="2"/>
        <v>0</v>
      </c>
      <c r="D30" s="247" t="str">
        <f ca="1">'Risk Aggregation'!G31</f>
        <v/>
      </c>
      <c r="E30" s="247">
        <f ca="1">'Risk Aggregation'!H31</f>
        <v>0</v>
      </c>
      <c r="F30" s="247" t="str">
        <f ca="1">'Risk Aggregation'!F31</f>
        <v/>
      </c>
      <c r="G30" s="286" t="str">
        <f t="shared" ca="1" si="3"/>
        <v>Area</v>
      </c>
      <c r="H30" s="286" t="str">
        <f t="shared" ca="1" si="4"/>
        <v/>
      </c>
      <c r="I30" s="247">
        <f t="shared" ca="1" si="5"/>
        <v>0</v>
      </c>
      <c r="J30" s="247">
        <f t="shared" ca="1" si="6"/>
        <v>0</v>
      </c>
      <c r="K30" s="247">
        <f t="shared" ca="1" si="7"/>
        <v>0</v>
      </c>
      <c r="L30" s="247" t="b">
        <f>'Risk Control'!E36</f>
        <v>0</v>
      </c>
      <c r="M30" s="247" t="b">
        <f>'Risk Control'!L36</f>
        <v>0</v>
      </c>
      <c r="N30" s="247" t="b">
        <f>'Risk Control'!S36</f>
        <v>0</v>
      </c>
      <c r="O30" s="247" t="b">
        <f>'Risk Control'!AA36</f>
        <v>0</v>
      </c>
      <c r="P30" s="247" t="b">
        <f>'Risk Control'!AI36</f>
        <v>0</v>
      </c>
      <c r="Q30" s="366">
        <f t="shared" si="8"/>
        <v>0</v>
      </c>
      <c r="R30" s="366">
        <f t="shared" ca="1" si="9"/>
        <v>0</v>
      </c>
      <c r="S30" s="366">
        <f t="shared" ca="1" si="10"/>
        <v>0</v>
      </c>
      <c r="T30" s="26">
        <f>'Top 10 Risks (Page 2)'!F37</f>
        <v>0</v>
      </c>
      <c r="U30" s="247">
        <f>'Top 10 Risks (Page 2)'!H37</f>
        <v>0</v>
      </c>
      <c r="V30" s="247">
        <f>'Top 10 Risks (Page 2)'!J37</f>
        <v>0</v>
      </c>
      <c r="W30" s="247" t="b">
        <f t="shared" ca="1" si="11"/>
        <v>0</v>
      </c>
      <c r="X30" s="247">
        <f t="shared" ca="1" si="12"/>
        <v>29</v>
      </c>
      <c r="Y30" s="247">
        <f t="shared" ca="1" si="13"/>
        <v>0</v>
      </c>
    </row>
    <row r="31" spans="1:25" ht="15" customHeight="1" x14ac:dyDescent="0.25">
      <c r="A31" s="286" t="str">
        <f t="shared" ca="1" si="0"/>
        <v>Company 130</v>
      </c>
      <c r="B31" s="247" t="str">
        <f t="shared" ca="1" si="1"/>
        <v/>
      </c>
      <c r="C31" s="247">
        <f t="shared" ca="1" si="2"/>
        <v>0</v>
      </c>
      <c r="D31" s="247" t="str">
        <f ca="1">'Risk Aggregation'!G32</f>
        <v/>
      </c>
      <c r="E31" s="247">
        <f ca="1">'Risk Aggregation'!H32</f>
        <v>0</v>
      </c>
      <c r="F31" s="247" t="str">
        <f ca="1">'Risk Aggregation'!F32</f>
        <v/>
      </c>
      <c r="G31" s="286" t="str">
        <f t="shared" ca="1" si="3"/>
        <v>Area</v>
      </c>
      <c r="H31" s="286" t="str">
        <f t="shared" ca="1" si="4"/>
        <v/>
      </c>
      <c r="I31" s="247">
        <f t="shared" ca="1" si="5"/>
        <v>0</v>
      </c>
      <c r="J31" s="247">
        <f t="shared" ca="1" si="6"/>
        <v>0</v>
      </c>
      <c r="K31" s="247">
        <f t="shared" ca="1" si="7"/>
        <v>0</v>
      </c>
      <c r="L31" s="247" t="b">
        <f>'Risk Control'!E37</f>
        <v>0</v>
      </c>
      <c r="M31" s="247" t="b">
        <f>'Risk Control'!L37</f>
        <v>0</v>
      </c>
      <c r="N31" s="247" t="b">
        <f>'Risk Control'!S37</f>
        <v>0</v>
      </c>
      <c r="O31" s="247" t="b">
        <f>'Risk Control'!AA37</f>
        <v>0</v>
      </c>
      <c r="P31" s="247" t="b">
        <f>'Risk Control'!AI37</f>
        <v>0</v>
      </c>
      <c r="Q31" s="366">
        <f t="shared" si="8"/>
        <v>0</v>
      </c>
      <c r="R31" s="366">
        <f t="shared" ca="1" si="9"/>
        <v>0</v>
      </c>
      <c r="S31" s="366">
        <f t="shared" ca="1" si="10"/>
        <v>0</v>
      </c>
      <c r="T31" s="26">
        <f>'Top 10 Risks (Page 2)'!F38</f>
        <v>0</v>
      </c>
      <c r="U31" s="247">
        <f>'Top 10 Risks (Page 2)'!H38</f>
        <v>0</v>
      </c>
      <c r="V31" s="247">
        <f>'Top 10 Risks (Page 2)'!J38</f>
        <v>0</v>
      </c>
      <c r="W31" s="247" t="b">
        <f t="shared" ca="1" si="11"/>
        <v>0</v>
      </c>
      <c r="X31" s="247">
        <f t="shared" ca="1" si="12"/>
        <v>30</v>
      </c>
      <c r="Y31" s="247">
        <f t="shared" ca="1" si="13"/>
        <v>0</v>
      </c>
    </row>
    <row r="32" spans="1:25" ht="15" customHeight="1" x14ac:dyDescent="0.25">
      <c r="A32" s="286" t="str">
        <f t="shared" ca="1" si="0"/>
        <v>Company 131</v>
      </c>
      <c r="B32" s="247" t="str">
        <f t="shared" ca="1" si="1"/>
        <v/>
      </c>
      <c r="C32" s="247">
        <f t="shared" ca="1" si="2"/>
        <v>0</v>
      </c>
      <c r="D32" s="247" t="str">
        <f ca="1">'Risk Aggregation'!G33</f>
        <v/>
      </c>
      <c r="E32" s="247">
        <f ca="1">'Risk Aggregation'!H33</f>
        <v>0</v>
      </c>
      <c r="F32" s="247" t="str">
        <f ca="1">'Risk Aggregation'!F33</f>
        <v/>
      </c>
      <c r="G32" s="286" t="str">
        <f t="shared" ca="1" si="3"/>
        <v>Area</v>
      </c>
      <c r="H32" s="286" t="str">
        <f t="shared" ca="1" si="4"/>
        <v/>
      </c>
      <c r="I32" s="247">
        <f t="shared" ca="1" si="5"/>
        <v>0</v>
      </c>
      <c r="J32" s="247">
        <f t="shared" ca="1" si="6"/>
        <v>0</v>
      </c>
      <c r="K32" s="247">
        <f t="shared" ca="1" si="7"/>
        <v>0</v>
      </c>
      <c r="L32" s="247" t="b">
        <f>'Risk Control'!E38</f>
        <v>0</v>
      </c>
      <c r="M32" s="247" t="b">
        <f>'Risk Control'!L38</f>
        <v>0</v>
      </c>
      <c r="N32" s="247" t="b">
        <f>'Risk Control'!S38</f>
        <v>0</v>
      </c>
      <c r="O32" s="247" t="b">
        <f>'Risk Control'!AA38</f>
        <v>0</v>
      </c>
      <c r="P32" s="247" t="b">
        <f>'Risk Control'!AI38</f>
        <v>0</v>
      </c>
      <c r="Q32" s="366">
        <f t="shared" si="8"/>
        <v>0</v>
      </c>
      <c r="R32" s="366">
        <f t="shared" ca="1" si="9"/>
        <v>0</v>
      </c>
      <c r="S32" s="366">
        <f t="shared" ca="1" si="10"/>
        <v>0</v>
      </c>
      <c r="T32" s="26">
        <f>'Top 10 Risks (Page 2)'!F39</f>
        <v>0</v>
      </c>
      <c r="U32" s="247">
        <f>'Top 10 Risks (Page 2)'!H39</f>
        <v>0</v>
      </c>
      <c r="V32" s="247">
        <f>'Top 10 Risks (Page 2)'!J39</f>
        <v>0</v>
      </c>
      <c r="W32" s="247" t="b">
        <f t="shared" ca="1" si="11"/>
        <v>0</v>
      </c>
      <c r="X32" s="247">
        <f t="shared" ca="1" si="12"/>
        <v>31</v>
      </c>
      <c r="Y32" s="247">
        <f t="shared" ca="1" si="13"/>
        <v>0</v>
      </c>
    </row>
    <row r="33" spans="1:25" ht="15" customHeight="1" x14ac:dyDescent="0.25">
      <c r="A33" s="286" t="str">
        <f t="shared" ca="1" si="0"/>
        <v>Company 132</v>
      </c>
      <c r="B33" s="247" t="str">
        <f t="shared" ca="1" si="1"/>
        <v/>
      </c>
      <c r="C33" s="247">
        <f t="shared" ca="1" si="2"/>
        <v>0</v>
      </c>
      <c r="D33" s="247" t="str">
        <f ca="1">'Risk Aggregation'!G34</f>
        <v/>
      </c>
      <c r="E33" s="247">
        <f ca="1">'Risk Aggregation'!H34</f>
        <v>0</v>
      </c>
      <c r="F33" s="247" t="str">
        <f ca="1">'Risk Aggregation'!F34</f>
        <v/>
      </c>
      <c r="G33" s="286" t="str">
        <f t="shared" ca="1" si="3"/>
        <v>Area</v>
      </c>
      <c r="H33" s="286" t="str">
        <f t="shared" ca="1" si="4"/>
        <v/>
      </c>
      <c r="I33" s="247">
        <f t="shared" ca="1" si="5"/>
        <v>0</v>
      </c>
      <c r="J33" s="247">
        <f t="shared" ca="1" si="6"/>
        <v>0</v>
      </c>
      <c r="K33" s="247">
        <f t="shared" ca="1" si="7"/>
        <v>0</v>
      </c>
      <c r="L33" s="247" t="b">
        <f>'Risk Control'!E39</f>
        <v>0</v>
      </c>
      <c r="M33" s="247" t="b">
        <f>'Risk Control'!L39</f>
        <v>0</v>
      </c>
      <c r="N33" s="247" t="b">
        <f>'Risk Control'!S39</f>
        <v>0</v>
      </c>
      <c r="O33" s="247" t="b">
        <f>'Risk Control'!AA39</f>
        <v>0</v>
      </c>
      <c r="P33" s="247" t="b">
        <f>'Risk Control'!AI39</f>
        <v>0</v>
      </c>
      <c r="Q33" s="366">
        <f t="shared" si="8"/>
        <v>0</v>
      </c>
      <c r="R33" s="366">
        <f t="shared" ca="1" si="9"/>
        <v>0</v>
      </c>
      <c r="S33" s="366">
        <f t="shared" ca="1" si="10"/>
        <v>0</v>
      </c>
      <c r="T33" s="26">
        <f>'Top 10 Risks (Page 2)'!F40</f>
        <v>0</v>
      </c>
      <c r="U33" s="247">
        <f>'Top 10 Risks (Page 2)'!H40</f>
        <v>0</v>
      </c>
      <c r="V33" s="247">
        <f>'Top 10 Risks (Page 2)'!J40</f>
        <v>0</v>
      </c>
      <c r="W33" s="247" t="b">
        <f t="shared" ca="1" si="11"/>
        <v>0</v>
      </c>
      <c r="X33" s="247">
        <f t="shared" ca="1" si="12"/>
        <v>32</v>
      </c>
      <c r="Y33" s="247">
        <f t="shared" ca="1" si="13"/>
        <v>0</v>
      </c>
    </row>
    <row r="34" spans="1:25" ht="15" customHeight="1" x14ac:dyDescent="0.25">
      <c r="A34" s="286" t="str">
        <f t="shared" ca="1" si="0"/>
        <v>Company 133</v>
      </c>
      <c r="B34" s="247" t="str">
        <f t="shared" ca="1" si="1"/>
        <v/>
      </c>
      <c r="C34" s="247">
        <f t="shared" ca="1" si="2"/>
        <v>0</v>
      </c>
      <c r="D34" s="247" t="str">
        <f ca="1">'Risk Aggregation'!G35</f>
        <v/>
      </c>
      <c r="E34" s="247">
        <f ca="1">'Risk Aggregation'!H35</f>
        <v>0</v>
      </c>
      <c r="F34" s="247" t="str">
        <f ca="1">'Risk Aggregation'!F35</f>
        <v/>
      </c>
      <c r="G34" s="286" t="str">
        <f t="shared" ca="1" si="3"/>
        <v>Area</v>
      </c>
      <c r="H34" s="286" t="str">
        <f t="shared" ca="1" si="4"/>
        <v/>
      </c>
      <c r="I34" s="247">
        <f t="shared" ca="1" si="5"/>
        <v>0</v>
      </c>
      <c r="J34" s="247">
        <f t="shared" ca="1" si="6"/>
        <v>0</v>
      </c>
      <c r="K34" s="247">
        <f t="shared" ca="1" si="7"/>
        <v>0</v>
      </c>
      <c r="L34" s="247" t="b">
        <f>'Risk Control'!E40</f>
        <v>0</v>
      </c>
      <c r="M34" s="247" t="b">
        <f>'Risk Control'!L40</f>
        <v>0</v>
      </c>
      <c r="N34" s="247" t="b">
        <f>'Risk Control'!S40</f>
        <v>0</v>
      </c>
      <c r="O34" s="247" t="b">
        <f>'Risk Control'!AA40</f>
        <v>0</v>
      </c>
      <c r="P34" s="247" t="b">
        <f>'Risk Control'!AI40</f>
        <v>0</v>
      </c>
      <c r="Q34" s="366">
        <f t="shared" si="8"/>
        <v>0</v>
      </c>
      <c r="R34" s="366">
        <f t="shared" ca="1" si="9"/>
        <v>0</v>
      </c>
      <c r="S34" s="366">
        <f t="shared" ca="1" si="10"/>
        <v>0</v>
      </c>
      <c r="T34" s="26">
        <f>'Top 10 Risks (Page 2)'!F41</f>
        <v>0</v>
      </c>
      <c r="U34" s="247">
        <f>'Top 10 Risks (Page 2)'!H41</f>
        <v>0</v>
      </c>
      <c r="V34" s="247">
        <f>'Top 10 Risks (Page 2)'!J41</f>
        <v>0</v>
      </c>
      <c r="W34" s="247" t="b">
        <f t="shared" ca="1" si="11"/>
        <v>0</v>
      </c>
      <c r="X34" s="247">
        <f t="shared" ca="1" si="12"/>
        <v>33</v>
      </c>
      <c r="Y34" s="247">
        <f t="shared" ca="1" si="13"/>
        <v>0</v>
      </c>
    </row>
    <row r="35" spans="1:25" ht="15" customHeight="1" x14ac:dyDescent="0.25">
      <c r="A35" s="286" t="str">
        <f t="shared" ca="1" si="0"/>
        <v>Company 134</v>
      </c>
      <c r="B35" s="247" t="str">
        <f t="shared" ca="1" si="1"/>
        <v/>
      </c>
      <c r="C35" s="247">
        <f t="shared" ca="1" si="2"/>
        <v>0</v>
      </c>
      <c r="D35" s="247" t="str">
        <f ca="1">'Risk Aggregation'!G36</f>
        <v/>
      </c>
      <c r="E35" s="247">
        <f ca="1">'Risk Aggregation'!H36</f>
        <v>0</v>
      </c>
      <c r="F35" s="247" t="str">
        <f ca="1">'Risk Aggregation'!F36</f>
        <v/>
      </c>
      <c r="G35" s="286" t="str">
        <f t="shared" ca="1" si="3"/>
        <v>Area</v>
      </c>
      <c r="H35" s="286" t="str">
        <f t="shared" ca="1" si="4"/>
        <v/>
      </c>
      <c r="I35" s="247">
        <f t="shared" ca="1" si="5"/>
        <v>0</v>
      </c>
      <c r="J35" s="247">
        <f t="shared" ca="1" si="6"/>
        <v>0</v>
      </c>
      <c r="K35" s="247">
        <f t="shared" ca="1" si="7"/>
        <v>0</v>
      </c>
      <c r="L35" s="247" t="b">
        <f>'Risk Control'!E41</f>
        <v>0</v>
      </c>
      <c r="M35" s="247" t="b">
        <f>'Risk Control'!L41</f>
        <v>0</v>
      </c>
      <c r="N35" s="247" t="b">
        <f>'Risk Control'!S41</f>
        <v>0</v>
      </c>
      <c r="O35" s="247" t="b">
        <f>'Risk Control'!AA41</f>
        <v>0</v>
      </c>
      <c r="P35" s="247" t="b">
        <f>'Risk Control'!AI41</f>
        <v>0</v>
      </c>
      <c r="Q35" s="366">
        <f t="shared" si="8"/>
        <v>0</v>
      </c>
      <c r="R35" s="366">
        <f t="shared" ca="1" si="9"/>
        <v>0</v>
      </c>
      <c r="S35" s="366">
        <f t="shared" ca="1" si="10"/>
        <v>0</v>
      </c>
      <c r="T35" s="26">
        <f>'Top 10 Risks (Page 2)'!F42</f>
        <v>0</v>
      </c>
      <c r="U35" s="247">
        <f>'Top 10 Risks (Page 2)'!H42</f>
        <v>0</v>
      </c>
      <c r="V35" s="247">
        <f>'Top 10 Risks (Page 2)'!J42</f>
        <v>0</v>
      </c>
      <c r="W35" s="247" t="b">
        <f t="shared" ca="1" si="11"/>
        <v>0</v>
      </c>
      <c r="X35" s="247">
        <f t="shared" ca="1" si="12"/>
        <v>34</v>
      </c>
      <c r="Y35" s="247">
        <f t="shared" ca="1" si="13"/>
        <v>0</v>
      </c>
    </row>
  </sheetData>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9D9D9"/>
    <pageSetUpPr fitToPage="1"/>
  </sheetPr>
  <dimension ref="A1:D28"/>
  <sheetViews>
    <sheetView zoomScaleNormal="100" workbookViewId="0">
      <selection sqref="A1:D1"/>
    </sheetView>
  </sheetViews>
  <sheetFormatPr defaultColWidth="8.7109375" defaultRowHeight="15" x14ac:dyDescent="0.25"/>
  <cols>
    <col min="1" max="1" width="28" customWidth="1"/>
    <col min="2" max="2" width="40" customWidth="1"/>
    <col min="3" max="4" width="28" customWidth="1"/>
  </cols>
  <sheetData>
    <row r="1" spans="1:4" ht="17.25" customHeight="1" x14ac:dyDescent="0.25">
      <c r="A1" s="399" t="s">
        <v>995</v>
      </c>
      <c r="B1" s="399"/>
      <c r="C1" s="399"/>
      <c r="D1" s="399"/>
    </row>
    <row r="3" spans="1:4" ht="30" customHeight="1" x14ac:dyDescent="0.25">
      <c r="A3" s="296" t="s">
        <v>304</v>
      </c>
      <c r="B3" s="296" t="s">
        <v>996</v>
      </c>
      <c r="C3" s="296" t="s">
        <v>997</v>
      </c>
      <c r="D3" s="296" t="s">
        <v>998</v>
      </c>
    </row>
    <row r="4" spans="1:4" ht="15" customHeight="1" x14ac:dyDescent="0.25">
      <c r="A4" s="40" t="s">
        <v>999</v>
      </c>
      <c r="B4" s="367" t="s">
        <v>1000</v>
      </c>
      <c r="C4" s="75" t="s">
        <v>1001</v>
      </c>
      <c r="D4" s="44" t="s">
        <v>1002</v>
      </c>
    </row>
    <row r="5" spans="1:4" ht="15" customHeight="1" x14ac:dyDescent="0.25">
      <c r="A5" s="40" t="s">
        <v>1003</v>
      </c>
      <c r="B5" s="367" t="s">
        <v>1004</v>
      </c>
      <c r="C5" s="75" t="s">
        <v>1005</v>
      </c>
      <c r="D5" s="44" t="s">
        <v>1006</v>
      </c>
    </row>
    <row r="6" spans="1:4" ht="15" customHeight="1" x14ac:dyDescent="0.25">
      <c r="A6" s="40" t="s">
        <v>1007</v>
      </c>
      <c r="B6" s="367" t="s">
        <v>1008</v>
      </c>
      <c r="C6" s="75" t="s">
        <v>1009</v>
      </c>
      <c r="D6" s="44" t="s">
        <v>1010</v>
      </c>
    </row>
    <row r="7" spans="1:4" ht="15" customHeight="1" x14ac:dyDescent="0.25">
      <c r="A7" s="40" t="s">
        <v>55</v>
      </c>
      <c r="B7" s="367" t="s">
        <v>1011</v>
      </c>
      <c r="C7" s="75" t="s">
        <v>1012</v>
      </c>
      <c r="D7" s="44" t="s">
        <v>1013</v>
      </c>
    </row>
    <row r="8" spans="1:4" ht="15" customHeight="1" x14ac:dyDescent="0.25">
      <c r="A8" s="40" t="s">
        <v>1014</v>
      </c>
      <c r="B8" s="367" t="s">
        <v>1015</v>
      </c>
      <c r="C8" s="75" t="s">
        <v>1016</v>
      </c>
      <c r="D8" s="44" t="s">
        <v>1017</v>
      </c>
    </row>
    <row r="9" spans="1:4" ht="15" customHeight="1" x14ac:dyDescent="0.25">
      <c r="A9" s="40" t="s">
        <v>1018</v>
      </c>
      <c r="B9" s="367" t="s">
        <v>514</v>
      </c>
      <c r="C9" s="75" t="s">
        <v>1019</v>
      </c>
      <c r="D9" s="44" t="s">
        <v>1020</v>
      </c>
    </row>
    <row r="10" spans="1:4" ht="15" customHeight="1" x14ac:dyDescent="0.25">
      <c r="A10" s="40" t="s">
        <v>1021</v>
      </c>
      <c r="B10" s="367" t="s">
        <v>1022</v>
      </c>
      <c r="C10" s="75" t="s">
        <v>1023</v>
      </c>
      <c r="D10" s="44" t="s">
        <v>1024</v>
      </c>
    </row>
    <row r="11" spans="1:4" ht="15" customHeight="1" x14ac:dyDescent="0.25">
      <c r="A11" s="40" t="s">
        <v>1025</v>
      </c>
      <c r="B11" s="367" t="s">
        <v>1026</v>
      </c>
      <c r="C11" s="75" t="s">
        <v>1027</v>
      </c>
      <c r="D11" s="44" t="s">
        <v>1028</v>
      </c>
    </row>
    <row r="12" spans="1:4" ht="15" customHeight="1" x14ac:dyDescent="0.25">
      <c r="A12" s="40" t="s">
        <v>1029</v>
      </c>
      <c r="B12" s="367" t="s">
        <v>1030</v>
      </c>
      <c r="C12" s="75" t="s">
        <v>1031</v>
      </c>
      <c r="D12" s="44" t="s">
        <v>1032</v>
      </c>
    </row>
    <row r="13" spans="1:4" ht="15" customHeight="1" x14ac:dyDescent="0.25">
      <c r="A13" s="40" t="s">
        <v>1033</v>
      </c>
      <c r="B13" s="367" t="s">
        <v>1034</v>
      </c>
      <c r="C13" s="75" t="s">
        <v>1035</v>
      </c>
      <c r="D13" s="44" t="s">
        <v>1036</v>
      </c>
    </row>
    <row r="14" spans="1:4" ht="15" customHeight="1" x14ac:dyDescent="0.25">
      <c r="A14" s="40" t="s">
        <v>1037</v>
      </c>
      <c r="B14" s="367" t="s">
        <v>1038</v>
      </c>
      <c r="C14" s="75" t="s">
        <v>1039</v>
      </c>
      <c r="D14" s="44" t="s">
        <v>1040</v>
      </c>
    </row>
    <row r="15" spans="1:4" ht="15" customHeight="1" x14ac:dyDescent="0.25">
      <c r="A15" s="40" t="s">
        <v>309</v>
      </c>
      <c r="B15" s="367" t="s">
        <v>311</v>
      </c>
      <c r="C15" s="75" t="s">
        <v>1041</v>
      </c>
      <c r="D15" s="44" t="s">
        <v>1042</v>
      </c>
    </row>
    <row r="16" spans="1:4" ht="15" customHeight="1" x14ac:dyDescent="0.25">
      <c r="A16" s="40" t="s">
        <v>1043</v>
      </c>
      <c r="B16" s="367" t="s">
        <v>1044</v>
      </c>
      <c r="C16" s="75" t="s">
        <v>1045</v>
      </c>
      <c r="D16" s="44" t="s">
        <v>1046</v>
      </c>
    </row>
    <row r="17" spans="1:4" ht="15" customHeight="1" x14ac:dyDescent="0.25">
      <c r="A17" s="40" t="s">
        <v>1047</v>
      </c>
      <c r="B17" s="367" t="s">
        <v>1048</v>
      </c>
      <c r="C17" s="75" t="s">
        <v>1049</v>
      </c>
      <c r="D17" s="44" t="s">
        <v>1050</v>
      </c>
    </row>
    <row r="18" spans="1:4" ht="15" customHeight="1" x14ac:dyDescent="0.25">
      <c r="A18" s="40" t="s">
        <v>1051</v>
      </c>
      <c r="B18" s="367" t="s">
        <v>1052</v>
      </c>
      <c r="C18" s="75" t="s">
        <v>1053</v>
      </c>
      <c r="D18" s="44" t="s">
        <v>1054</v>
      </c>
    </row>
    <row r="19" spans="1:4" ht="15" customHeight="1" x14ac:dyDescent="0.25">
      <c r="A19" s="40" t="s">
        <v>609</v>
      </c>
      <c r="B19" s="367" t="s">
        <v>1055</v>
      </c>
      <c r="C19" s="75" t="s">
        <v>1056</v>
      </c>
      <c r="D19" s="44" t="s">
        <v>1057</v>
      </c>
    </row>
    <row r="20" spans="1:4" ht="15" customHeight="1" x14ac:dyDescent="0.25">
      <c r="A20" s="40" t="s">
        <v>384</v>
      </c>
      <c r="B20" s="367" t="s">
        <v>1058</v>
      </c>
      <c r="C20" s="75" t="s">
        <v>1059</v>
      </c>
      <c r="D20" s="44" t="s">
        <v>1060</v>
      </c>
    </row>
    <row r="21" spans="1:4" ht="15" customHeight="1" x14ac:dyDescent="0.25">
      <c r="A21" s="40" t="s">
        <v>385</v>
      </c>
      <c r="B21" s="367" t="s">
        <v>1061</v>
      </c>
      <c r="C21" s="75" t="s">
        <v>1059</v>
      </c>
      <c r="D21" s="44" t="s">
        <v>1062</v>
      </c>
    </row>
    <row r="22" spans="1:4" ht="15" customHeight="1" x14ac:dyDescent="0.25">
      <c r="A22" s="40" t="s">
        <v>689</v>
      </c>
      <c r="B22" s="367" t="s">
        <v>1063</v>
      </c>
      <c r="C22" s="75" t="s">
        <v>1064</v>
      </c>
      <c r="D22" s="44" t="s">
        <v>1065</v>
      </c>
    </row>
    <row r="23" spans="1:4" ht="15" customHeight="1" x14ac:dyDescent="0.25">
      <c r="A23" s="40" t="s">
        <v>697</v>
      </c>
      <c r="B23" s="367" t="s">
        <v>1066</v>
      </c>
      <c r="C23" s="75" t="s">
        <v>1067</v>
      </c>
      <c r="D23" s="44" t="s">
        <v>1068</v>
      </c>
    </row>
    <row r="24" spans="1:4" ht="15" customHeight="1" x14ac:dyDescent="0.25">
      <c r="A24" s="40" t="s">
        <v>816</v>
      </c>
      <c r="B24" s="367" t="s">
        <v>1069</v>
      </c>
      <c r="C24" s="75" t="s">
        <v>1070</v>
      </c>
      <c r="D24" s="44" t="s">
        <v>1071</v>
      </c>
    </row>
    <row r="25" spans="1:4" ht="15" customHeight="1" x14ac:dyDescent="0.25">
      <c r="A25" s="40" t="s">
        <v>1072</v>
      </c>
      <c r="B25" s="367" t="s">
        <v>1073</v>
      </c>
      <c r="C25" s="75" t="s">
        <v>1074</v>
      </c>
      <c r="D25" s="44" t="s">
        <v>1075</v>
      </c>
    </row>
    <row r="26" spans="1:4" ht="15" customHeight="1" x14ac:dyDescent="0.25">
      <c r="A26" s="40" t="s">
        <v>1076</v>
      </c>
      <c r="B26" s="367" t="s">
        <v>1077</v>
      </c>
      <c r="C26" s="75" t="s">
        <v>1078</v>
      </c>
      <c r="D26" s="44" t="s">
        <v>1079</v>
      </c>
    </row>
    <row r="27" spans="1:4" ht="15" customHeight="1" x14ac:dyDescent="0.25">
      <c r="A27" s="40" t="s">
        <v>1080</v>
      </c>
      <c r="B27" s="367" t="s">
        <v>1081</v>
      </c>
      <c r="C27" s="75" t="s">
        <v>1082</v>
      </c>
      <c r="D27" s="44" t="s">
        <v>1083</v>
      </c>
    </row>
    <row r="28" spans="1:4" ht="15" customHeight="1" x14ac:dyDescent="0.25">
      <c r="A28" s="40" t="s">
        <v>1084</v>
      </c>
      <c r="B28" s="367" t="s">
        <v>1085</v>
      </c>
      <c r="C28" s="75" t="s">
        <v>1086</v>
      </c>
      <c r="D28" s="44" t="s">
        <v>1087</v>
      </c>
    </row>
  </sheetData>
  <mergeCells count="1">
    <mergeCell ref="A1:D1"/>
  </mergeCells>
  <pageMargins left="0.75" right="0.75" top="1" bottom="1" header="0.511811023622047" footer="0.511811023622047"/>
  <pageSetup fitToHeight="0" orientation="landscape"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L24"/>
  <sheetViews>
    <sheetView zoomScaleNormal="100" workbookViewId="0"/>
  </sheetViews>
  <sheetFormatPr defaultColWidth="8.7109375" defaultRowHeight="15" x14ac:dyDescent="0.25"/>
  <cols>
    <col min="1" max="1" width="1.7109375" customWidth="1"/>
    <col min="2" max="2" width="12.7109375" customWidth="1"/>
    <col min="3" max="3" width="10.140625" customWidth="1"/>
    <col min="4" max="4" width="34.5703125" customWidth="1"/>
    <col min="5" max="5" width="38.42578125" customWidth="1"/>
    <col min="6" max="6" width="50.140625" customWidth="1"/>
    <col min="7" max="7" width="10.42578125" customWidth="1"/>
    <col min="8" max="8" width="83.28515625" customWidth="1"/>
    <col min="9" max="9" width="15.140625" customWidth="1"/>
    <col min="10" max="10" width="11.28515625" customWidth="1"/>
    <col min="11" max="11" width="9.140625" customWidth="1"/>
    <col min="12" max="12" width="38.85546875" customWidth="1"/>
    <col min="13" max="13" width="9.140625" customWidth="1"/>
  </cols>
  <sheetData>
    <row r="2" spans="2:12" ht="20.25" customHeight="1" x14ac:dyDescent="0.25">
      <c r="B2" s="368"/>
      <c r="C2" s="368"/>
      <c r="D2" s="445" t="s">
        <v>1088</v>
      </c>
      <c r="E2" s="445"/>
      <c r="F2" s="445"/>
      <c r="G2" s="445"/>
      <c r="H2" s="445"/>
      <c r="I2" s="445"/>
      <c r="J2" s="445"/>
      <c r="K2" s="368"/>
      <c r="L2" s="368">
        <v>0</v>
      </c>
    </row>
    <row r="3" spans="2:12" ht="7.5" customHeight="1" x14ac:dyDescent="0.25">
      <c r="B3" s="368"/>
      <c r="C3" s="368"/>
      <c r="D3" s="368"/>
      <c r="E3" s="368"/>
      <c r="F3" s="368"/>
      <c r="G3" s="368"/>
      <c r="H3" s="368"/>
      <c r="I3" s="368"/>
      <c r="J3" s="368"/>
      <c r="K3" s="368"/>
      <c r="L3" s="368"/>
    </row>
    <row r="4" spans="2:12" ht="15" customHeight="1" x14ac:dyDescent="0.25">
      <c r="B4" s="369" t="s">
        <v>1089</v>
      </c>
      <c r="C4" s="369" t="s">
        <v>1090</v>
      </c>
      <c r="D4" s="369" t="s">
        <v>1091</v>
      </c>
      <c r="E4" s="369" t="s">
        <v>1092</v>
      </c>
      <c r="F4" s="369" t="s">
        <v>1093</v>
      </c>
      <c r="G4" s="369" t="s">
        <v>1094</v>
      </c>
      <c r="H4" s="369" t="s">
        <v>1095</v>
      </c>
      <c r="I4" s="369" t="s">
        <v>1096</v>
      </c>
      <c r="J4" s="369" t="s">
        <v>1097</v>
      </c>
      <c r="K4" s="369" t="s">
        <v>1098</v>
      </c>
      <c r="L4" s="369" t="s">
        <v>1099</v>
      </c>
    </row>
    <row r="5" spans="2:12" ht="15" customHeight="1" x14ac:dyDescent="0.25">
      <c r="B5" t="s">
        <v>1100</v>
      </c>
      <c r="C5" t="s">
        <v>1101</v>
      </c>
      <c r="D5" t="s">
        <v>1102</v>
      </c>
      <c r="E5" t="s">
        <v>1103</v>
      </c>
      <c r="G5">
        <v>1001</v>
      </c>
      <c r="H5" t="s">
        <v>1104</v>
      </c>
      <c r="I5" t="s">
        <v>1105</v>
      </c>
      <c r="J5" t="s">
        <v>1106</v>
      </c>
      <c r="K5" t="s">
        <v>1107</v>
      </c>
    </row>
    <row r="6" spans="2:12" ht="15" customHeight="1" x14ac:dyDescent="0.25">
      <c r="B6" t="s">
        <v>1100</v>
      </c>
      <c r="C6" t="s">
        <v>1101</v>
      </c>
      <c r="D6" t="s">
        <v>1102</v>
      </c>
      <c r="E6" t="s">
        <v>1108</v>
      </c>
      <c r="G6">
        <v>1002</v>
      </c>
      <c r="H6" t="s">
        <v>1109</v>
      </c>
      <c r="I6" t="s">
        <v>1105</v>
      </c>
      <c r="J6" t="s">
        <v>1106</v>
      </c>
      <c r="K6" t="s">
        <v>1107</v>
      </c>
    </row>
    <row r="7" spans="2:12" ht="15" customHeight="1" x14ac:dyDescent="0.25">
      <c r="B7" t="s">
        <v>1100</v>
      </c>
      <c r="C7" t="s">
        <v>1101</v>
      </c>
      <c r="D7" t="s">
        <v>1102</v>
      </c>
      <c r="E7" t="s">
        <v>1103</v>
      </c>
      <c r="G7">
        <v>1003</v>
      </c>
      <c r="H7" t="s">
        <v>1110</v>
      </c>
      <c r="I7" t="s">
        <v>1111</v>
      </c>
      <c r="J7" t="s">
        <v>1106</v>
      </c>
      <c r="K7" t="s">
        <v>1107</v>
      </c>
    </row>
    <row r="8" spans="2:12" ht="15" customHeight="1" x14ac:dyDescent="0.25">
      <c r="B8" t="s">
        <v>1100</v>
      </c>
      <c r="C8" t="s">
        <v>1101</v>
      </c>
      <c r="D8" t="s">
        <v>1102</v>
      </c>
      <c r="E8" t="s">
        <v>1108</v>
      </c>
      <c r="G8">
        <v>1000</v>
      </c>
      <c r="H8" t="s">
        <v>1100</v>
      </c>
      <c r="I8" t="s">
        <v>1105</v>
      </c>
      <c r="J8" t="s">
        <v>1106</v>
      </c>
      <c r="K8" t="s">
        <v>1107</v>
      </c>
    </row>
    <row r="9" spans="2:12" ht="15" customHeight="1" x14ac:dyDescent="0.25">
      <c r="B9" t="s">
        <v>1100</v>
      </c>
      <c r="C9" t="s">
        <v>1101</v>
      </c>
      <c r="D9" t="s">
        <v>1112</v>
      </c>
      <c r="E9" t="s">
        <v>1103</v>
      </c>
      <c r="G9">
        <v>1004</v>
      </c>
      <c r="H9" t="s">
        <v>1100</v>
      </c>
      <c r="I9" t="s">
        <v>1105</v>
      </c>
      <c r="J9" t="s">
        <v>1106</v>
      </c>
      <c r="K9" t="s">
        <v>1107</v>
      </c>
    </row>
    <row r="10" spans="2:12" ht="15" customHeight="1" x14ac:dyDescent="0.25">
      <c r="B10" t="s">
        <v>1100</v>
      </c>
      <c r="C10" t="s">
        <v>1101</v>
      </c>
      <c r="D10" t="s">
        <v>1113</v>
      </c>
      <c r="E10" t="s">
        <v>1103</v>
      </c>
      <c r="G10">
        <v>1005</v>
      </c>
      <c r="H10" t="s">
        <v>1100</v>
      </c>
      <c r="I10" t="s">
        <v>1105</v>
      </c>
      <c r="J10" t="s">
        <v>1106</v>
      </c>
      <c r="K10" t="s">
        <v>1107</v>
      </c>
    </row>
    <row r="11" spans="2:12" ht="15" customHeight="1" x14ac:dyDescent="0.25">
      <c r="B11" t="s">
        <v>1100</v>
      </c>
      <c r="C11" t="s">
        <v>1114</v>
      </c>
      <c r="D11" t="s">
        <v>1102</v>
      </c>
      <c r="E11" t="s">
        <v>1108</v>
      </c>
      <c r="G11">
        <v>1006</v>
      </c>
      <c r="H11" t="s">
        <v>1100</v>
      </c>
      <c r="I11" t="s">
        <v>1114</v>
      </c>
      <c r="J11" t="s">
        <v>1106</v>
      </c>
      <c r="K11" t="s">
        <v>1107</v>
      </c>
    </row>
    <row r="12" spans="2:12" ht="15" customHeight="1" x14ac:dyDescent="0.25">
      <c r="B12" t="s">
        <v>1100</v>
      </c>
      <c r="C12" t="s">
        <v>1115</v>
      </c>
      <c r="D12" t="s">
        <v>1102</v>
      </c>
      <c r="E12" t="s">
        <v>1108</v>
      </c>
      <c r="G12">
        <v>1007</v>
      </c>
      <c r="H12" t="s">
        <v>1100</v>
      </c>
      <c r="I12" t="s">
        <v>1116</v>
      </c>
      <c r="J12" t="s">
        <v>1106</v>
      </c>
      <c r="K12" t="s">
        <v>1107</v>
      </c>
    </row>
    <row r="13" spans="2:12" ht="15" customHeight="1" x14ac:dyDescent="0.25"/>
    <row r="14" spans="2:12" ht="15" customHeight="1" x14ac:dyDescent="0.25"/>
    <row r="15" spans="2:12" ht="15" customHeight="1" x14ac:dyDescent="0.25"/>
    <row r="16" spans="2:12"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sheetData>
  <mergeCells count="1">
    <mergeCell ref="D2:J2"/>
  </mergeCells>
  <dataValidations count="1">
    <dataValidation type="list" allowBlank="1" sqref="L5:L1012" xr:uid="{00000000-0002-0000-1D00-000000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F31"/>
  <sheetViews>
    <sheetView zoomScaleNormal="100" workbookViewId="0"/>
  </sheetViews>
  <sheetFormatPr defaultColWidth="8.7109375" defaultRowHeight="15" x14ac:dyDescent="0.25"/>
  <cols>
    <col min="1" max="1" width="1.5703125" customWidth="1"/>
    <col min="3" max="3" width="86.85546875" customWidth="1"/>
    <col min="4" max="4" width="52.42578125" customWidth="1"/>
    <col min="5" max="5" width="1.5703125" customWidth="1"/>
    <col min="7" max="7" width="8" customWidth="1"/>
  </cols>
  <sheetData>
    <row r="2" spans="1:32" ht="12.75" customHeight="1" x14ac:dyDescent="0.25">
      <c r="A2" s="104"/>
      <c r="B2" s="7"/>
      <c r="C2" s="8"/>
      <c r="D2" s="8"/>
      <c r="E2" s="9"/>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row>
    <row r="3" spans="1:32" ht="24" customHeight="1" x14ac:dyDescent="0.25">
      <c r="A3" s="104"/>
      <c r="B3" s="10"/>
      <c r="C3" s="86" t="str">
        <f>IF(SelectedBU="","",INDEX(ReportingUnits,SelectedBU,1))</f>
        <v>Company 3</v>
      </c>
      <c r="D3" s="87" t="s">
        <v>1117</v>
      </c>
      <c r="E3" s="13"/>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row>
    <row r="4" spans="1:32" ht="4.5" customHeight="1" x14ac:dyDescent="0.25">
      <c r="A4" s="104"/>
      <c r="B4" s="10"/>
      <c r="C4" s="14"/>
      <c r="D4" s="15"/>
      <c r="E4" s="13"/>
      <c r="F4" s="106"/>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row>
    <row r="5" spans="1:32" ht="4.5" customHeight="1" x14ac:dyDescent="0.25">
      <c r="A5" s="104"/>
      <c r="B5" s="10"/>
      <c r="C5" s="11"/>
      <c r="D5" s="11"/>
      <c r="E5" s="13"/>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row>
    <row r="6" spans="1:32" ht="15" customHeight="1" x14ac:dyDescent="0.25">
      <c r="A6" s="104"/>
      <c r="B6" s="10"/>
      <c r="C6" s="89" t="str">
        <f>"Describe (narrative) the plausible situation for the "&amp;Parameters!$E$17&amp;". Period for which the risks have been assessed:"</f>
        <v>Describe (narrative) the plausible situation for the next 3 - 5 years. Period for which the risks have been assessed:</v>
      </c>
      <c r="D6" s="11"/>
      <c r="E6" s="13"/>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row>
    <row r="7" spans="1:32" ht="15" customHeight="1" x14ac:dyDescent="0.25">
      <c r="A7" s="104"/>
      <c r="B7" s="10"/>
      <c r="C7" s="370" t="s">
        <v>1118</v>
      </c>
      <c r="D7" s="11"/>
      <c r="E7" s="13"/>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row>
    <row r="8" spans="1:32" ht="12.75" customHeight="1" x14ac:dyDescent="0.25">
      <c r="A8" s="104"/>
      <c r="B8" s="10"/>
      <c r="C8" s="370" t="s">
        <v>1119</v>
      </c>
      <c r="D8" s="11"/>
      <c r="E8" s="13"/>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row>
    <row r="9" spans="1:32" ht="15" customHeight="1" x14ac:dyDescent="0.25">
      <c r="A9" s="104"/>
      <c r="B9" s="10"/>
      <c r="C9" s="90"/>
      <c r="D9" s="11"/>
      <c r="E9" s="13"/>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row>
    <row r="10" spans="1:32" ht="409.5" customHeight="1" x14ac:dyDescent="0.25">
      <c r="A10" s="104"/>
      <c r="B10" s="10"/>
      <c r="C10" s="446"/>
      <c r="D10" s="446"/>
      <c r="E10" s="13"/>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row>
    <row r="11" spans="1:32" ht="36" customHeight="1" x14ac:dyDescent="0.25">
      <c r="A11" s="104"/>
      <c r="B11" s="10"/>
      <c r="C11" s="371"/>
      <c r="D11" s="372"/>
      <c r="E11" s="13"/>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row>
    <row r="12" spans="1:32" ht="36" customHeight="1" x14ac:dyDescent="0.25">
      <c r="A12" s="104"/>
      <c r="B12" s="10"/>
      <c r="C12" s="98"/>
      <c r="D12" s="373"/>
      <c r="E12" s="13"/>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row>
    <row r="13" spans="1:32" ht="36" customHeight="1" x14ac:dyDescent="0.25">
      <c r="A13" s="104"/>
      <c r="B13" s="10"/>
      <c r="C13" s="98"/>
      <c r="D13" s="373"/>
      <c r="E13" s="13"/>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row>
    <row r="14" spans="1:32" ht="36" customHeight="1" x14ac:dyDescent="0.25">
      <c r="A14" s="104"/>
      <c r="B14" s="10"/>
      <c r="C14" s="98"/>
      <c r="D14" s="373"/>
      <c r="E14" s="13"/>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row>
    <row r="15" spans="1:32" ht="36" customHeight="1" x14ac:dyDescent="0.25">
      <c r="A15" s="104"/>
      <c r="B15" s="10"/>
      <c r="C15" s="98"/>
      <c r="D15" s="373"/>
      <c r="E15" s="13"/>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row>
    <row r="16" spans="1:32" ht="36" customHeight="1" x14ac:dyDescent="0.25">
      <c r="A16" s="104"/>
      <c r="B16" s="10"/>
      <c r="C16" s="98"/>
      <c r="D16" s="373"/>
      <c r="E16" s="13"/>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row>
    <row r="17" spans="2:5" ht="36" customHeight="1" x14ac:dyDescent="0.25">
      <c r="B17" s="10"/>
      <c r="C17" s="98"/>
      <c r="D17" s="373"/>
      <c r="E17" s="13"/>
    </row>
    <row r="18" spans="2:5" ht="36" customHeight="1" x14ac:dyDescent="0.25">
      <c r="B18" s="10"/>
      <c r="C18" s="98"/>
      <c r="D18" s="373"/>
      <c r="E18" s="13"/>
    </row>
    <row r="19" spans="2:5" ht="36" customHeight="1" x14ac:dyDescent="0.25">
      <c r="B19" s="10"/>
      <c r="C19" s="98"/>
      <c r="D19" s="373"/>
      <c r="E19" s="13"/>
    </row>
    <row r="20" spans="2:5" ht="36" customHeight="1" x14ac:dyDescent="0.25">
      <c r="B20" s="10"/>
      <c r="C20" s="98"/>
      <c r="D20" s="373"/>
      <c r="E20" s="13"/>
    </row>
    <row r="21" spans="2:5" ht="36" customHeight="1" x14ac:dyDescent="0.25">
      <c r="B21" s="10"/>
      <c r="C21" s="98"/>
      <c r="D21" s="373"/>
      <c r="E21" s="13"/>
    </row>
    <row r="22" spans="2:5" ht="36" customHeight="1" x14ac:dyDescent="0.25">
      <c r="B22" s="10"/>
      <c r="C22" s="98"/>
      <c r="D22" s="373"/>
      <c r="E22" s="13"/>
    </row>
    <row r="23" spans="2:5" ht="36" customHeight="1" x14ac:dyDescent="0.25">
      <c r="B23" s="10"/>
      <c r="C23" s="98"/>
      <c r="D23" s="373"/>
      <c r="E23" s="13"/>
    </row>
    <row r="24" spans="2:5" ht="36" customHeight="1" x14ac:dyDescent="0.25">
      <c r="B24" s="10"/>
      <c r="C24" s="98"/>
      <c r="D24" s="373"/>
      <c r="E24" s="13"/>
    </row>
    <row r="25" spans="2:5" ht="36" customHeight="1" x14ac:dyDescent="0.25">
      <c r="B25" s="10"/>
      <c r="C25" s="98"/>
      <c r="D25" s="373"/>
      <c r="E25" s="13"/>
    </row>
    <row r="26" spans="2:5" ht="36" customHeight="1" x14ac:dyDescent="0.25">
      <c r="B26" s="10"/>
      <c r="C26" s="98"/>
      <c r="D26" s="373"/>
      <c r="E26" s="13"/>
    </row>
    <row r="27" spans="2:5" ht="36" customHeight="1" x14ac:dyDescent="0.25">
      <c r="B27" s="10"/>
      <c r="C27" s="98"/>
      <c r="D27" s="373"/>
      <c r="E27" s="13"/>
    </row>
    <row r="28" spans="2:5" ht="36" customHeight="1" x14ac:dyDescent="0.25">
      <c r="B28" s="10"/>
      <c r="C28" s="98"/>
      <c r="D28" s="373"/>
      <c r="E28" s="13"/>
    </row>
    <row r="29" spans="2:5" ht="15" customHeight="1" x14ac:dyDescent="0.25">
      <c r="B29" s="10"/>
      <c r="C29" s="374"/>
      <c r="D29" s="375"/>
      <c r="E29" s="13"/>
    </row>
    <row r="30" spans="2:5" ht="15" customHeight="1" x14ac:dyDescent="0.25">
      <c r="B30" s="10"/>
      <c r="C30" s="19"/>
      <c r="D30" s="11"/>
      <c r="E30" s="13"/>
    </row>
    <row r="31" spans="2:5" ht="15" customHeight="1" x14ac:dyDescent="0.25">
      <c r="B31" s="35"/>
      <c r="C31" s="103"/>
      <c r="D31" s="103"/>
      <c r="E31" s="38"/>
    </row>
  </sheetData>
  <mergeCells count="1">
    <mergeCell ref="C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32</vt:i4>
      </vt:variant>
      <vt:variant>
        <vt:lpstr>Named Ranges</vt:lpstr>
      </vt:variant>
      <vt:variant>
        <vt:i4>11</vt:i4>
      </vt:variant>
    </vt:vector>
  </HeadingPairs>
  <TitlesOfParts>
    <vt:vector size="43" baseType="lpstr">
      <vt:lpstr>7-Instructions</vt:lpstr>
      <vt:lpstr>Header</vt:lpstr>
      <vt:lpstr>Calibration</vt:lpstr>
      <vt:lpstr>CORE</vt:lpstr>
      <vt:lpstr>Company_RI</vt:lpstr>
      <vt:lpstr>Company_SMI</vt:lpstr>
      <vt:lpstr>Objectives</vt:lpstr>
      <vt:lpstr>Risk Thresholds</vt:lpstr>
      <vt:lpstr>Top 10 Risks</vt:lpstr>
      <vt:lpstr>Top 10 Risks (Page 2)</vt:lpstr>
      <vt:lpstr>RADAR</vt:lpstr>
      <vt:lpstr>FORGE</vt:lpstr>
      <vt:lpstr>Opportunities</vt:lpstr>
      <vt:lpstr>Risk Control</vt:lpstr>
      <vt:lpstr>Risk Interaction Map</vt:lpstr>
      <vt:lpstr>Coherence_Density</vt:lpstr>
      <vt:lpstr>Risks &amp; Objectives</vt:lpstr>
      <vt:lpstr>Long Term Risks</vt:lpstr>
      <vt:lpstr>Risk Aggregation</vt:lpstr>
      <vt:lpstr>Monte_Carlo</vt:lpstr>
      <vt:lpstr>Diagram_Data</vt:lpstr>
      <vt:lpstr>RADAR_Examples</vt:lpstr>
      <vt:lpstr>FORGE_Examples</vt:lpstr>
      <vt:lpstr>Opp_Examples</vt:lpstr>
      <vt:lpstr>Dashboard</vt:lpstr>
      <vt:lpstr>Effectiveness</vt:lpstr>
      <vt:lpstr>MatrixImpact</vt:lpstr>
      <vt:lpstr>Parameters</vt:lpstr>
      <vt:lpstr>RiskList</vt:lpstr>
      <vt:lpstr>Formula_Reference</vt:lpstr>
      <vt:lpstr>BPMEntities2023</vt:lpstr>
      <vt:lpstr>As Planned Scenario</vt:lpstr>
      <vt:lpstr>CriticalThreshold</vt:lpstr>
      <vt:lpstr>LastRMC</vt:lpstr>
      <vt:lpstr>LogarithmBase</vt:lpstr>
      <vt:lpstr>NbObjectives</vt:lpstr>
      <vt:lpstr>ReportingPeriod</vt:lpstr>
      <vt:lpstr>ReportingUnits</vt:lpstr>
      <vt:lpstr>RiskIdBeginsWith</vt:lpstr>
      <vt:lpstr>SelectedBU</vt:lpstr>
      <vt:lpstr>Timeframe</vt:lpstr>
      <vt:lpstr>timehorizon</vt:lpstr>
      <vt:lpstr>ValidationDate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 Clements</cp:lastModifiedBy>
  <cp:revision>0</cp:revision>
  <dcterms:created xsi:type="dcterms:W3CDTF">2026-03-04T13:47:17Z</dcterms:created>
  <dcterms:modified xsi:type="dcterms:W3CDTF">2026-04-09T16:29:06Z</dcterms:modified>
  <dc:language>en-US</dc:language>
</cp:coreProperties>
</file>